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3dcad-site/public/"/>
    </mc:Choice>
  </mc:AlternateContent>
  <xr:revisionPtr revIDLastSave="713" documentId="8_{04C9C02A-217B-4CAA-8A5F-0EB5E9890B95}" xr6:coauthVersionLast="47" xr6:coauthVersionMax="47" xr10:uidLastSave="{DB07FF75-16C7-4443-8475-8720DA5370EB}"/>
  <bookViews>
    <workbookView minimized="1" xWindow="4260" yWindow="1065" windowWidth="13215" windowHeight="14520" firstSheet="2" activeTab="8" xr2:uid="{B2BECC2C-7C38-4F7D-AD9C-96C93F1F48F5}"/>
  </bookViews>
  <sheets>
    <sheet name="チャンネル" sheetId="1" r:id="rId1"/>
    <sheet name="アングル" sheetId="2" r:id="rId2"/>
    <sheet name="丸鋼" sheetId="3" r:id="rId3"/>
    <sheet name="ガス管" sheetId="4" r:id="rId4"/>
    <sheet name="角パイプ" sheetId="7" r:id="rId5"/>
    <sheet name="FB" sheetId="8" r:id="rId6"/>
    <sheet name="H鋼" sheetId="5" r:id="rId7"/>
    <sheet name="エキスパンド" sheetId="11" r:id="rId8"/>
    <sheet name="縞板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2" l="1"/>
  <c r="E5" i="12"/>
  <c r="E4" i="12"/>
  <c r="E3" i="12"/>
  <c r="D8" i="11"/>
  <c r="D7" i="11"/>
  <c r="D6" i="11"/>
  <c r="D5" i="11"/>
  <c r="D4" i="11"/>
  <c r="D3" i="11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12" i="7"/>
  <c r="G11" i="7"/>
  <c r="G10" i="7"/>
  <c r="G9" i="7"/>
  <c r="G8" i="7"/>
  <c r="G7" i="7"/>
  <c r="G6" i="7"/>
  <c r="G5" i="7"/>
  <c r="G4" i="7"/>
  <c r="G3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F12" i="4"/>
  <c r="F11" i="4"/>
  <c r="F10" i="4"/>
  <c r="F9" i="4"/>
  <c r="F8" i="4"/>
  <c r="F7" i="4"/>
  <c r="F6" i="4"/>
  <c r="F5" i="4"/>
  <c r="F4" i="4"/>
  <c r="F3" i="4"/>
  <c r="E9" i="3"/>
  <c r="E8" i="3"/>
  <c r="E7" i="3"/>
  <c r="E6" i="3"/>
  <c r="E5" i="3"/>
  <c r="E4" i="3"/>
  <c r="E3" i="3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J4" i="1" l="1"/>
  <c r="J5" i="1"/>
  <c r="J6" i="1"/>
  <c r="J7" i="1"/>
  <c r="J8" i="1"/>
  <c r="J9" i="1"/>
  <c r="J10" i="1"/>
  <c r="J11" i="1"/>
  <c r="J12" i="1"/>
  <c r="J3" i="1"/>
</calcChain>
</file>

<file path=xl/sharedStrings.xml><?xml version="1.0" encoding="utf-8"?>
<sst xmlns="http://schemas.openxmlformats.org/spreadsheetml/2006/main" count="242" uniqueCount="190">
  <si>
    <t>H</t>
    <phoneticPr fontId="2"/>
  </si>
  <si>
    <t>チャンネル</t>
    <phoneticPr fontId="2"/>
  </si>
  <si>
    <t>B</t>
    <phoneticPr fontId="2"/>
  </si>
  <si>
    <t>t1</t>
    <phoneticPr fontId="2"/>
  </si>
  <si>
    <t>t2</t>
    <phoneticPr fontId="2"/>
  </si>
  <si>
    <t>r1</t>
    <phoneticPr fontId="2"/>
  </si>
  <si>
    <t>r2</t>
    <phoneticPr fontId="2"/>
  </si>
  <si>
    <t>単位質量</t>
    <rPh sb="0" eb="4">
      <t>タンイシツリョウ</t>
    </rPh>
    <phoneticPr fontId="2"/>
  </si>
  <si>
    <t>単価</t>
    <rPh sb="0" eb="2">
      <t>タンカ</t>
    </rPh>
    <phoneticPr fontId="2"/>
  </si>
  <si>
    <t>原価</t>
    <rPh sb="0" eb="2">
      <t>ゲンカ</t>
    </rPh>
    <phoneticPr fontId="2"/>
  </si>
  <si>
    <t>切断費</t>
    <rPh sb="0" eb="3">
      <t>セツダンヒ</t>
    </rPh>
    <phoneticPr fontId="2"/>
  </si>
  <si>
    <t>L型アングル</t>
    <rPh sb="1" eb="2">
      <t>ガタ</t>
    </rPh>
    <phoneticPr fontId="2"/>
  </si>
  <si>
    <t>A</t>
    <phoneticPr fontId="2"/>
  </si>
  <si>
    <t>t</t>
    <phoneticPr fontId="2"/>
  </si>
  <si>
    <t>丸鋼</t>
    <rPh sb="0" eb="1">
      <t>マル</t>
    </rPh>
    <rPh sb="1" eb="2">
      <t>コウ</t>
    </rPh>
    <phoneticPr fontId="2"/>
  </si>
  <si>
    <t>呼び名</t>
    <rPh sb="0" eb="1">
      <t>ヨ</t>
    </rPh>
    <rPh sb="2" eb="3">
      <t>ナ</t>
    </rPh>
    <phoneticPr fontId="2"/>
  </si>
  <si>
    <t>U75</t>
    <phoneticPr fontId="2"/>
  </si>
  <si>
    <t>U100x50</t>
    <phoneticPr fontId="2"/>
  </si>
  <si>
    <t>U125x65</t>
    <phoneticPr fontId="2"/>
  </si>
  <si>
    <t>U150x75x6.5</t>
    <phoneticPr fontId="2"/>
  </si>
  <si>
    <t>U150x75x9</t>
    <phoneticPr fontId="2"/>
  </si>
  <si>
    <t>U180x75x7</t>
    <phoneticPr fontId="2"/>
  </si>
  <si>
    <t>U200x80x7.5</t>
    <phoneticPr fontId="2"/>
  </si>
  <si>
    <t>U200x90x8</t>
    <phoneticPr fontId="2"/>
  </si>
  <si>
    <t>U250x90x9</t>
    <phoneticPr fontId="2"/>
  </si>
  <si>
    <t>U300x90x9</t>
    <phoneticPr fontId="2"/>
  </si>
  <si>
    <t>L20x3</t>
    <phoneticPr fontId="2"/>
  </si>
  <si>
    <t>L25x3</t>
    <phoneticPr fontId="2"/>
  </si>
  <si>
    <t>L30x3</t>
    <phoneticPr fontId="2"/>
  </si>
  <si>
    <t>L40x3</t>
    <phoneticPr fontId="2"/>
  </si>
  <si>
    <t>L50x4</t>
    <phoneticPr fontId="2"/>
  </si>
  <si>
    <t>L30x5</t>
    <phoneticPr fontId="2"/>
  </si>
  <si>
    <t>L40x5</t>
    <phoneticPr fontId="2"/>
  </si>
  <si>
    <t>L50x6</t>
    <phoneticPr fontId="2"/>
  </si>
  <si>
    <t>L65x6</t>
    <phoneticPr fontId="2"/>
  </si>
  <si>
    <t>L75x6</t>
    <phoneticPr fontId="2"/>
  </si>
  <si>
    <t>L90x7</t>
    <phoneticPr fontId="2"/>
  </si>
  <si>
    <t>L100x7</t>
    <phoneticPr fontId="2"/>
  </si>
  <si>
    <t>L65x8</t>
    <phoneticPr fontId="2"/>
  </si>
  <si>
    <t>L75x9</t>
    <phoneticPr fontId="2"/>
  </si>
  <si>
    <t>L100x10</t>
    <phoneticPr fontId="2"/>
  </si>
  <si>
    <t>RBφ6</t>
    <phoneticPr fontId="2"/>
  </si>
  <si>
    <t>RBφ9</t>
    <phoneticPr fontId="2"/>
  </si>
  <si>
    <t>RBφ13</t>
    <phoneticPr fontId="2"/>
  </si>
  <si>
    <t>RBφ16</t>
    <phoneticPr fontId="2"/>
  </si>
  <si>
    <t>RBφ22</t>
    <phoneticPr fontId="2"/>
  </si>
  <si>
    <t>RBφ25</t>
    <phoneticPr fontId="2"/>
  </si>
  <si>
    <t>ガス管</t>
    <rPh sb="2" eb="3">
      <t>カン</t>
    </rPh>
    <phoneticPr fontId="2"/>
  </si>
  <si>
    <t>直径</t>
    <rPh sb="0" eb="2">
      <t>チョッケイ</t>
    </rPh>
    <phoneticPr fontId="2"/>
  </si>
  <si>
    <t>RBφ19</t>
    <phoneticPr fontId="2"/>
  </si>
  <si>
    <t>GPA15A</t>
    <phoneticPr fontId="2"/>
  </si>
  <si>
    <t>GPA20A</t>
    <phoneticPr fontId="2"/>
  </si>
  <si>
    <t>GPA25A</t>
    <phoneticPr fontId="2"/>
  </si>
  <si>
    <t>GPA32A</t>
    <phoneticPr fontId="2"/>
  </si>
  <si>
    <t>GPA40A</t>
    <phoneticPr fontId="2"/>
  </si>
  <si>
    <t>GPA65A</t>
    <phoneticPr fontId="2"/>
  </si>
  <si>
    <t>GPA100A</t>
  </si>
  <si>
    <t>GPA125A</t>
    <phoneticPr fontId="2"/>
  </si>
  <si>
    <t>GPA150A</t>
  </si>
  <si>
    <t>外径</t>
    <rPh sb="0" eb="2">
      <t>ガイケイ</t>
    </rPh>
    <phoneticPr fontId="2"/>
  </si>
  <si>
    <t>板厚</t>
    <rPh sb="0" eb="2">
      <t>イタアツ</t>
    </rPh>
    <phoneticPr fontId="2"/>
  </si>
  <si>
    <t>GPA200A</t>
    <phoneticPr fontId="2"/>
  </si>
  <si>
    <t>原価</t>
    <phoneticPr fontId="2"/>
  </si>
  <si>
    <t>H鋼</t>
    <rPh sb="1" eb="2">
      <t>コウ</t>
    </rPh>
    <phoneticPr fontId="2"/>
  </si>
  <si>
    <t>r</t>
    <phoneticPr fontId="2"/>
  </si>
  <si>
    <t>H100x100</t>
    <phoneticPr fontId="2"/>
  </si>
  <si>
    <t>H125x125</t>
    <phoneticPr fontId="2"/>
  </si>
  <si>
    <t>H150x150</t>
    <phoneticPr fontId="2"/>
  </si>
  <si>
    <t>H175x175</t>
    <phoneticPr fontId="2"/>
  </si>
  <si>
    <t>H200x200</t>
    <phoneticPr fontId="2"/>
  </si>
  <si>
    <t>H250x250</t>
    <phoneticPr fontId="2"/>
  </si>
  <si>
    <t>H300x300</t>
    <phoneticPr fontId="2"/>
  </si>
  <si>
    <t>H350x350</t>
    <phoneticPr fontId="2"/>
  </si>
  <si>
    <t>H400x400</t>
    <phoneticPr fontId="2"/>
  </si>
  <si>
    <t>H148x100</t>
    <phoneticPr fontId="2"/>
  </si>
  <si>
    <t>H194x150</t>
    <phoneticPr fontId="2"/>
  </si>
  <si>
    <t>H244x175</t>
    <phoneticPr fontId="2"/>
  </si>
  <si>
    <t>H294x200</t>
    <phoneticPr fontId="2"/>
  </si>
  <si>
    <t>H100x50</t>
    <phoneticPr fontId="2"/>
  </si>
  <si>
    <t>H125x60</t>
    <phoneticPr fontId="2"/>
  </si>
  <si>
    <t>H150x75</t>
    <phoneticPr fontId="2"/>
  </si>
  <si>
    <t>H200x100</t>
    <phoneticPr fontId="2"/>
  </si>
  <si>
    <t>H250x125</t>
    <phoneticPr fontId="2"/>
  </si>
  <si>
    <t>H300x150</t>
    <phoneticPr fontId="2"/>
  </si>
  <si>
    <t>1.6x16x16</t>
    <phoneticPr fontId="2"/>
  </si>
  <si>
    <t>1.6x19x19</t>
    <phoneticPr fontId="2"/>
  </si>
  <si>
    <t>1.6x21x21</t>
    <phoneticPr fontId="2"/>
  </si>
  <si>
    <t>1.6x25x25</t>
    <phoneticPr fontId="2"/>
  </si>
  <si>
    <t>1.6x30x30</t>
    <phoneticPr fontId="2"/>
  </si>
  <si>
    <t>1.6x31x31</t>
    <phoneticPr fontId="2"/>
  </si>
  <si>
    <t>1.6x32x32</t>
    <phoneticPr fontId="2"/>
  </si>
  <si>
    <t>1.6x32x14</t>
    <phoneticPr fontId="2"/>
  </si>
  <si>
    <t>1.6x38x38</t>
    <phoneticPr fontId="2"/>
  </si>
  <si>
    <t>1.6x40x25</t>
    <phoneticPr fontId="2"/>
  </si>
  <si>
    <t>1.6x40x20</t>
    <phoneticPr fontId="2"/>
  </si>
  <si>
    <t>1.6x50x30</t>
    <phoneticPr fontId="2"/>
  </si>
  <si>
    <t>1.6x50x26</t>
    <phoneticPr fontId="2"/>
  </si>
  <si>
    <t>2x40x40</t>
    <phoneticPr fontId="2"/>
  </si>
  <si>
    <t>1.6x50x50</t>
    <phoneticPr fontId="2"/>
  </si>
  <si>
    <t>1.6x60x30</t>
    <phoneticPr fontId="2"/>
  </si>
  <si>
    <t>2.3x30x30</t>
    <phoneticPr fontId="2"/>
  </si>
  <si>
    <t>3x25</t>
    <phoneticPr fontId="2"/>
  </si>
  <si>
    <t>3x32</t>
    <phoneticPr fontId="2"/>
  </si>
  <si>
    <t>3x38</t>
    <phoneticPr fontId="2"/>
  </si>
  <si>
    <t>3x50</t>
    <phoneticPr fontId="2"/>
  </si>
  <si>
    <t>3x100</t>
    <phoneticPr fontId="2"/>
  </si>
  <si>
    <t>4.5x38</t>
    <phoneticPr fontId="2"/>
  </si>
  <si>
    <t>4.5x25</t>
    <phoneticPr fontId="2"/>
  </si>
  <si>
    <t>4.5x32</t>
    <phoneticPr fontId="2"/>
  </si>
  <si>
    <t>4.5x44</t>
    <phoneticPr fontId="2"/>
  </si>
  <si>
    <t>4.5x50</t>
    <phoneticPr fontId="2"/>
  </si>
  <si>
    <t>4.5x75</t>
    <phoneticPr fontId="2"/>
  </si>
  <si>
    <t>4.5x90</t>
    <phoneticPr fontId="2"/>
  </si>
  <si>
    <t>4.5x100</t>
    <phoneticPr fontId="2"/>
  </si>
  <si>
    <t>6x25</t>
    <phoneticPr fontId="2"/>
  </si>
  <si>
    <t>6x32</t>
    <phoneticPr fontId="2"/>
  </si>
  <si>
    <t>6x38</t>
    <phoneticPr fontId="2"/>
  </si>
  <si>
    <t>6x44</t>
    <phoneticPr fontId="2"/>
  </si>
  <si>
    <t>6x50</t>
    <phoneticPr fontId="2"/>
  </si>
  <si>
    <t>6x65</t>
    <phoneticPr fontId="2"/>
  </si>
  <si>
    <t>6x75</t>
    <phoneticPr fontId="2"/>
  </si>
  <si>
    <t>6x90</t>
    <phoneticPr fontId="2"/>
  </si>
  <si>
    <t>6x100</t>
    <phoneticPr fontId="2"/>
  </si>
  <si>
    <t>6x125</t>
    <phoneticPr fontId="2"/>
  </si>
  <si>
    <t>6x150</t>
    <phoneticPr fontId="2"/>
  </si>
  <si>
    <t>9x25</t>
  </si>
  <si>
    <t>9x32</t>
  </si>
  <si>
    <t>9x38</t>
  </si>
  <si>
    <t>9x44</t>
  </si>
  <si>
    <t>9x50</t>
  </si>
  <si>
    <t>9x75</t>
  </si>
  <si>
    <t>9x90</t>
  </si>
  <si>
    <t>9x100</t>
  </si>
  <si>
    <t>9x125</t>
  </si>
  <si>
    <t>9x150</t>
  </si>
  <si>
    <t>9x65</t>
    <phoneticPr fontId="2"/>
  </si>
  <si>
    <t>12x38</t>
  </si>
  <si>
    <t>12x50</t>
  </si>
  <si>
    <t>12x65</t>
  </si>
  <si>
    <t>12x75</t>
  </si>
  <si>
    <t>12x100</t>
  </si>
  <si>
    <t>12x125</t>
  </si>
  <si>
    <t>12x150</t>
  </si>
  <si>
    <t>16x38</t>
  </si>
  <si>
    <t>16x50</t>
  </si>
  <si>
    <t>16x65</t>
  </si>
  <si>
    <t>16x75</t>
  </si>
  <si>
    <t>16x100</t>
  </si>
  <si>
    <t>16x125</t>
  </si>
  <si>
    <t>16x150</t>
  </si>
  <si>
    <t>2.3x50x20</t>
    <phoneticPr fontId="2"/>
  </si>
  <si>
    <t>2.3x40x20</t>
    <phoneticPr fontId="2"/>
  </si>
  <si>
    <t>2.3x40x40</t>
    <phoneticPr fontId="2"/>
  </si>
  <si>
    <t>2.3x50x50</t>
    <phoneticPr fontId="2"/>
  </si>
  <si>
    <t>2.3x60x30</t>
    <phoneticPr fontId="2"/>
  </si>
  <si>
    <t>2.3x60x60</t>
    <phoneticPr fontId="2"/>
  </si>
  <si>
    <t>2.3x75x45</t>
    <phoneticPr fontId="2"/>
  </si>
  <si>
    <t>2.3x75x75</t>
    <phoneticPr fontId="2"/>
  </si>
  <si>
    <t>2.3x90x90</t>
    <phoneticPr fontId="2"/>
  </si>
  <si>
    <t>2.3x100x50</t>
    <phoneticPr fontId="2"/>
  </si>
  <si>
    <t>2.3x100x100</t>
    <phoneticPr fontId="2"/>
  </si>
  <si>
    <t>3.2x30x30</t>
    <phoneticPr fontId="2"/>
  </si>
  <si>
    <t>3.2x40x40</t>
    <phoneticPr fontId="2"/>
  </si>
  <si>
    <t>3.2x50x50</t>
    <phoneticPr fontId="2"/>
  </si>
  <si>
    <t>3.2x60x30</t>
    <phoneticPr fontId="2"/>
  </si>
  <si>
    <t>3.2x60x60</t>
    <phoneticPr fontId="2"/>
  </si>
  <si>
    <t>3.2x75x45</t>
    <phoneticPr fontId="2"/>
  </si>
  <si>
    <t>3.2x75x75</t>
    <phoneticPr fontId="2"/>
  </si>
  <si>
    <t>3.2x90x90</t>
    <phoneticPr fontId="2"/>
  </si>
  <si>
    <t>3.2x100x50</t>
    <phoneticPr fontId="2"/>
  </si>
  <si>
    <t>3.2x100x100</t>
    <phoneticPr fontId="2"/>
  </si>
  <si>
    <t>4.5x75x75</t>
    <phoneticPr fontId="2"/>
  </si>
  <si>
    <t>4.5x100x100</t>
    <phoneticPr fontId="2"/>
  </si>
  <si>
    <t>4.5x125x125</t>
    <phoneticPr fontId="2"/>
  </si>
  <si>
    <t>6x100x100</t>
    <phoneticPr fontId="2"/>
  </si>
  <si>
    <t>6x125x125</t>
    <phoneticPr fontId="2"/>
  </si>
  <si>
    <t>6x150x50</t>
    <phoneticPr fontId="2"/>
  </si>
  <si>
    <t>FB</t>
    <phoneticPr fontId="2"/>
  </si>
  <si>
    <t>XG21</t>
    <phoneticPr fontId="2"/>
  </si>
  <si>
    <t>XG22</t>
    <phoneticPr fontId="2"/>
  </si>
  <si>
    <t>XS32</t>
    <phoneticPr fontId="2"/>
  </si>
  <si>
    <t>XS33</t>
    <phoneticPr fontId="2"/>
  </si>
  <si>
    <t>XS43</t>
    <phoneticPr fontId="2"/>
  </si>
  <si>
    <t>XS63</t>
    <phoneticPr fontId="2"/>
  </si>
  <si>
    <t>エキスパンド</t>
    <phoneticPr fontId="2"/>
  </si>
  <si>
    <t>縞板</t>
    <rPh sb="0" eb="2">
      <t>シマイタ</t>
    </rPh>
    <phoneticPr fontId="2"/>
  </si>
  <si>
    <t>CPL2.3</t>
    <phoneticPr fontId="2"/>
  </si>
  <si>
    <t>CPL3.2</t>
    <phoneticPr fontId="2"/>
  </si>
  <si>
    <t>CPL4.5</t>
    <phoneticPr fontId="2"/>
  </si>
  <si>
    <t>CPL6.0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</si>
</sst>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8" fontId="0" fillId="0" borderId="0" xfId="1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280147</xdr:colOff>
      <xdr:row>1</xdr:row>
      <xdr:rowOff>201019</xdr:rowOff>
    </xdr:from>
    <xdr:to>
      <xdr:col>12</xdr:col>
      <xdr:colOff>630656</xdr:colOff>
      <xdr:row>9</xdr:row>
      <xdr:rowOff>190293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FDFBAD5-29DF-4B3B-B8C5-99964DE87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9722" y="3534769"/>
          <a:ext cx="1722109" cy="18942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17</xdr:row>
      <xdr:rowOff>66674</xdr:rowOff>
    </xdr:to>
    <xdr:sp macro="" textlink="">
      <xdr:nvSpPr>
        <xdr:cNvPr id="5121" name="AutoShape 1" descr="H形鋼[H]の規格、サイズ JIS G 3192 | JIS規格ポケットブック">
          <a:extLst>
            <a:ext uri="{FF2B5EF4-FFF2-40B4-BE49-F238E27FC236}">
              <a16:creationId xmlns:a16="http://schemas.microsoft.com/office/drawing/2014/main" id="{389E99D7-1314-353C-58B0-31EE0165856D}"/>
            </a:ext>
          </a:extLst>
        </xdr:cNvPr>
        <xdr:cNvSpPr>
          <a:spLocks noChangeAspect="1" noChangeArrowheads="1"/>
        </xdr:cNvSpPr>
      </xdr:nvSpPr>
      <xdr:spPr bwMode="auto">
        <a:xfrm>
          <a:off x="6657975" y="3571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10</xdr:row>
      <xdr:rowOff>0</xdr:rowOff>
    </xdr:from>
    <xdr:to>
      <xdr:col>11</xdr:col>
      <xdr:colOff>304800</xdr:colOff>
      <xdr:row>11</xdr:row>
      <xdr:rowOff>66676</xdr:rowOff>
    </xdr:to>
    <xdr:sp macro="" textlink="">
      <xdr:nvSpPr>
        <xdr:cNvPr id="5122" name="AutoShape 2" descr="H形鋼[H]の規格、サイズ JIS G 3192 | JIS規格ポケットブック">
          <a:extLst>
            <a:ext uri="{FF2B5EF4-FFF2-40B4-BE49-F238E27FC236}">
              <a16:creationId xmlns:a16="http://schemas.microsoft.com/office/drawing/2014/main" id="{29DC2FE4-089C-3E40-1910-028C5D3626FD}"/>
            </a:ext>
          </a:extLst>
        </xdr:cNvPr>
        <xdr:cNvSpPr>
          <a:spLocks noChangeAspect="1" noChangeArrowheads="1"/>
        </xdr:cNvSpPr>
      </xdr:nvSpPr>
      <xdr:spPr bwMode="auto">
        <a:xfrm>
          <a:off x="8029575" y="214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304800</xdr:colOff>
      <xdr:row>9</xdr:row>
      <xdr:rowOff>66676</xdr:rowOff>
    </xdr:to>
    <xdr:sp macro="" textlink="">
      <xdr:nvSpPr>
        <xdr:cNvPr id="5123" name="AutoShape 3" descr="H形鋼[H]の規格、サイズ JIS G 3192 | JIS規格ポケットブック">
          <a:extLst>
            <a:ext uri="{FF2B5EF4-FFF2-40B4-BE49-F238E27FC236}">
              <a16:creationId xmlns:a16="http://schemas.microsoft.com/office/drawing/2014/main" id="{D94F00B6-9D9C-DE98-1A99-8365C6614DF0}"/>
            </a:ext>
          </a:extLst>
        </xdr:cNvPr>
        <xdr:cNvSpPr>
          <a:spLocks noChangeAspect="1" noChangeArrowheads="1"/>
        </xdr:cNvSpPr>
      </xdr:nvSpPr>
      <xdr:spPr bwMode="auto">
        <a:xfrm>
          <a:off x="7343775" y="1666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304800</xdr:colOff>
      <xdr:row>9</xdr:row>
      <xdr:rowOff>66676</xdr:rowOff>
    </xdr:to>
    <xdr:sp macro="" textlink="">
      <xdr:nvSpPr>
        <xdr:cNvPr id="5124" name="AutoShape 4" descr="H形鋼[H]の規格、サイズ JIS G 3192 | JIS規格ポケットブック">
          <a:extLst>
            <a:ext uri="{FF2B5EF4-FFF2-40B4-BE49-F238E27FC236}">
              <a16:creationId xmlns:a16="http://schemas.microsoft.com/office/drawing/2014/main" id="{B95BC074-A8C5-7BDB-365F-C0002C0F5193}"/>
            </a:ext>
          </a:extLst>
        </xdr:cNvPr>
        <xdr:cNvSpPr>
          <a:spLocks noChangeAspect="1" noChangeArrowheads="1"/>
        </xdr:cNvSpPr>
      </xdr:nvSpPr>
      <xdr:spPr bwMode="auto">
        <a:xfrm>
          <a:off x="7343775" y="1666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376052</xdr:colOff>
      <xdr:row>2</xdr:row>
      <xdr:rowOff>149679</xdr:rowOff>
    </xdr:from>
    <xdr:to>
      <xdr:col>16</xdr:col>
      <xdr:colOff>567243</xdr:colOff>
      <xdr:row>19</xdr:row>
      <xdr:rowOff>53635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26417D0-93D5-3F44-D01A-E68967696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5507" y="392134"/>
          <a:ext cx="5040281" cy="402568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3862-DB88-4767-BB7D-C9F1E6DB24EC}">
  <dimension ref="A1:K12"/>
  <sheetViews>
    <sheetView zoomScale="85" zoomScaleNormal="85" workbookViewId="0">
      <selection activeCell="E17" sqref="E17"/>
    </sheetView>
  </sheetViews>
  <sheetFormatPr defaultRowHeight="18.75" x14ac:dyDescent="0.4"/>
  <cols>
    <col min="1" max="1" width="13.75" customWidth="1"/>
    <col min="2" max="2" width="10.625" customWidth="1"/>
    <col min="10" max="10" width="9" style="1"/>
  </cols>
  <sheetData>
    <row r="1" spans="1:11" x14ac:dyDescent="0.4">
      <c r="A1" t="s">
        <v>1</v>
      </c>
    </row>
    <row r="2" spans="1:11" x14ac:dyDescent="0.4">
      <c r="A2" t="s">
        <v>15</v>
      </c>
      <c r="B2" t="s">
        <v>0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9</v>
      </c>
      <c r="J2" s="1" t="s">
        <v>8</v>
      </c>
      <c r="K2" t="s">
        <v>10</v>
      </c>
    </row>
    <row r="3" spans="1:11" x14ac:dyDescent="0.4">
      <c r="A3" t="s">
        <v>16</v>
      </c>
      <c r="B3">
        <v>75</v>
      </c>
      <c r="C3">
        <v>40</v>
      </c>
      <c r="D3">
        <v>5</v>
      </c>
      <c r="E3">
        <v>7</v>
      </c>
      <c r="F3">
        <v>8</v>
      </c>
      <c r="G3">
        <v>4</v>
      </c>
      <c r="H3">
        <v>6.92</v>
      </c>
      <c r="I3">
        <v>132</v>
      </c>
      <c r="J3" s="1">
        <f>ROUNDUP(I3*1.1,0)</f>
        <v>146</v>
      </c>
    </row>
    <row r="4" spans="1:11" x14ac:dyDescent="0.4">
      <c r="A4" t="s">
        <v>17</v>
      </c>
      <c r="B4">
        <v>100</v>
      </c>
      <c r="C4">
        <v>50</v>
      </c>
      <c r="D4">
        <v>5</v>
      </c>
      <c r="E4">
        <v>7.5</v>
      </c>
      <c r="F4">
        <v>8</v>
      </c>
      <c r="G4">
        <v>4</v>
      </c>
      <c r="H4">
        <v>9.36</v>
      </c>
      <c r="I4">
        <v>128</v>
      </c>
      <c r="J4" s="1">
        <f t="shared" ref="J4:J12" si="0">ROUNDUP(I4*1.1,0)</f>
        <v>141</v>
      </c>
    </row>
    <row r="5" spans="1:11" x14ac:dyDescent="0.4">
      <c r="A5" t="s">
        <v>18</v>
      </c>
      <c r="B5">
        <v>125</v>
      </c>
      <c r="C5">
        <v>65</v>
      </c>
      <c r="D5">
        <v>6</v>
      </c>
      <c r="E5">
        <v>8</v>
      </c>
      <c r="F5">
        <v>8</v>
      </c>
      <c r="G5">
        <v>4</v>
      </c>
      <c r="H5">
        <v>13.4</v>
      </c>
      <c r="I5">
        <v>128</v>
      </c>
      <c r="J5" s="1">
        <f t="shared" si="0"/>
        <v>141</v>
      </c>
    </row>
    <row r="6" spans="1:11" x14ac:dyDescent="0.4">
      <c r="A6" t="s">
        <v>19</v>
      </c>
      <c r="B6">
        <v>150</v>
      </c>
      <c r="C6">
        <v>75</v>
      </c>
      <c r="D6">
        <v>6.5</v>
      </c>
      <c r="E6">
        <v>10</v>
      </c>
      <c r="F6">
        <v>8</v>
      </c>
      <c r="G6">
        <v>5</v>
      </c>
      <c r="H6">
        <v>18.600000000000001</v>
      </c>
      <c r="I6">
        <v>128</v>
      </c>
      <c r="J6" s="1">
        <f t="shared" si="0"/>
        <v>141</v>
      </c>
    </row>
    <row r="7" spans="1:11" x14ac:dyDescent="0.4">
      <c r="A7" t="s">
        <v>20</v>
      </c>
      <c r="B7">
        <v>150</v>
      </c>
      <c r="C7">
        <v>75</v>
      </c>
      <c r="D7">
        <v>9</v>
      </c>
      <c r="E7">
        <v>12.5</v>
      </c>
      <c r="F7">
        <v>10</v>
      </c>
      <c r="G7">
        <v>7.5</v>
      </c>
      <c r="H7">
        <v>24</v>
      </c>
      <c r="I7">
        <v>133</v>
      </c>
      <c r="J7" s="1">
        <f t="shared" si="0"/>
        <v>147</v>
      </c>
    </row>
    <row r="8" spans="1:11" x14ac:dyDescent="0.4">
      <c r="A8" t="s">
        <v>21</v>
      </c>
      <c r="B8">
        <v>180</v>
      </c>
      <c r="C8">
        <v>75</v>
      </c>
      <c r="D8">
        <v>7</v>
      </c>
      <c r="E8">
        <v>10.5</v>
      </c>
      <c r="F8">
        <v>15</v>
      </c>
      <c r="G8">
        <v>5.5</v>
      </c>
      <c r="H8">
        <v>21.4</v>
      </c>
      <c r="I8">
        <v>133</v>
      </c>
      <c r="J8" s="1">
        <f t="shared" si="0"/>
        <v>147</v>
      </c>
    </row>
    <row r="9" spans="1:11" x14ac:dyDescent="0.4">
      <c r="A9" t="s">
        <v>22</v>
      </c>
      <c r="B9">
        <v>200</v>
      </c>
      <c r="C9">
        <v>80</v>
      </c>
      <c r="D9">
        <v>7.5</v>
      </c>
      <c r="E9">
        <v>11</v>
      </c>
      <c r="F9">
        <v>11</v>
      </c>
      <c r="G9">
        <v>6</v>
      </c>
      <c r="H9">
        <v>24.6</v>
      </c>
      <c r="I9">
        <v>133</v>
      </c>
      <c r="J9" s="1">
        <f t="shared" si="0"/>
        <v>147</v>
      </c>
    </row>
    <row r="10" spans="1:11" x14ac:dyDescent="0.4">
      <c r="A10" t="s">
        <v>23</v>
      </c>
      <c r="B10">
        <v>200</v>
      </c>
      <c r="C10">
        <v>90</v>
      </c>
      <c r="D10">
        <v>8</v>
      </c>
      <c r="E10">
        <v>13.5</v>
      </c>
      <c r="F10">
        <v>12</v>
      </c>
      <c r="G10">
        <v>7</v>
      </c>
      <c r="H10">
        <v>30.3</v>
      </c>
      <c r="I10">
        <v>133</v>
      </c>
      <c r="J10" s="1">
        <f t="shared" si="0"/>
        <v>147</v>
      </c>
    </row>
    <row r="11" spans="1:11" x14ac:dyDescent="0.4">
      <c r="A11" t="s">
        <v>24</v>
      </c>
      <c r="B11">
        <v>250</v>
      </c>
      <c r="C11">
        <v>90</v>
      </c>
      <c r="D11">
        <v>9</v>
      </c>
      <c r="E11">
        <v>13</v>
      </c>
      <c r="F11">
        <v>14</v>
      </c>
      <c r="G11">
        <v>7</v>
      </c>
      <c r="H11">
        <v>34.6</v>
      </c>
      <c r="I11">
        <v>133</v>
      </c>
      <c r="J11" s="1">
        <f t="shared" si="0"/>
        <v>147</v>
      </c>
    </row>
    <row r="12" spans="1:11" x14ac:dyDescent="0.4">
      <c r="A12" t="s">
        <v>25</v>
      </c>
      <c r="B12">
        <v>300</v>
      </c>
      <c r="C12">
        <v>90</v>
      </c>
      <c r="D12">
        <v>9</v>
      </c>
      <c r="E12">
        <v>13</v>
      </c>
      <c r="F12">
        <v>14</v>
      </c>
      <c r="G12">
        <v>7</v>
      </c>
      <c r="H12">
        <v>38.1</v>
      </c>
      <c r="I12">
        <v>133</v>
      </c>
      <c r="J12" s="1">
        <f t="shared" si="0"/>
        <v>147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8DA4-03BB-4BFC-A118-20D366C07276}">
  <dimension ref="A1:J17"/>
  <sheetViews>
    <sheetView zoomScale="85" zoomScaleNormal="85" workbookViewId="0">
      <selection activeCell="D29" sqref="D29"/>
    </sheetView>
  </sheetViews>
  <sheetFormatPr defaultRowHeight="18.75" x14ac:dyDescent="0.4"/>
  <cols>
    <col min="1" max="1" width="13.75" customWidth="1"/>
    <col min="2" max="2" width="10.625" customWidth="1"/>
    <col min="9" max="9" width="9" style="1"/>
  </cols>
  <sheetData>
    <row r="1" spans="1:10" x14ac:dyDescent="0.4">
      <c r="A1" t="s">
        <v>11</v>
      </c>
    </row>
    <row r="2" spans="1:10" x14ac:dyDescent="0.4">
      <c r="A2" t="s">
        <v>15</v>
      </c>
      <c r="B2" t="s">
        <v>12</v>
      </c>
      <c r="C2" t="s">
        <v>2</v>
      </c>
      <c r="D2" t="s">
        <v>13</v>
      </c>
      <c r="E2" t="s">
        <v>5</v>
      </c>
      <c r="F2" t="s">
        <v>6</v>
      </c>
      <c r="G2" t="s">
        <v>7</v>
      </c>
      <c r="H2" t="s">
        <v>9</v>
      </c>
      <c r="I2" s="1" t="s">
        <v>8</v>
      </c>
      <c r="J2" t="s">
        <v>10</v>
      </c>
    </row>
    <row r="3" spans="1:10" x14ac:dyDescent="0.4">
      <c r="A3" t="s">
        <v>26</v>
      </c>
      <c r="B3">
        <v>20</v>
      </c>
      <c r="C3">
        <v>20</v>
      </c>
      <c r="D3">
        <v>3</v>
      </c>
      <c r="E3">
        <v>4</v>
      </c>
      <c r="F3">
        <v>2</v>
      </c>
      <c r="G3">
        <v>0.88500000000000001</v>
      </c>
      <c r="H3">
        <v>190</v>
      </c>
      <c r="I3" s="1">
        <f>ROUNDUP(H3*1.1,0)</f>
        <v>209</v>
      </c>
    </row>
    <row r="4" spans="1:10" x14ac:dyDescent="0.4">
      <c r="A4" t="s">
        <v>27</v>
      </c>
      <c r="B4">
        <v>25</v>
      </c>
      <c r="C4">
        <v>25</v>
      </c>
      <c r="D4">
        <v>3</v>
      </c>
      <c r="E4">
        <v>4</v>
      </c>
      <c r="F4">
        <v>2</v>
      </c>
      <c r="G4">
        <v>1.1200000000000001</v>
      </c>
      <c r="H4">
        <v>155</v>
      </c>
      <c r="I4" s="1">
        <f t="shared" ref="I4:I17" si="0">ROUNDUP(H4*1.1,0)</f>
        <v>171</v>
      </c>
    </row>
    <row r="5" spans="1:10" x14ac:dyDescent="0.4">
      <c r="A5" t="s">
        <v>28</v>
      </c>
      <c r="B5">
        <v>30</v>
      </c>
      <c r="C5">
        <v>30</v>
      </c>
      <c r="D5">
        <v>3</v>
      </c>
      <c r="E5">
        <v>4</v>
      </c>
      <c r="F5">
        <v>2</v>
      </c>
      <c r="G5">
        <v>1.36</v>
      </c>
      <c r="H5">
        <v>145</v>
      </c>
      <c r="I5" s="1">
        <f t="shared" si="0"/>
        <v>160</v>
      </c>
    </row>
    <row r="6" spans="1:10" x14ac:dyDescent="0.4">
      <c r="A6" t="s">
        <v>29</v>
      </c>
      <c r="B6">
        <v>40</v>
      </c>
      <c r="C6">
        <v>40</v>
      </c>
      <c r="D6">
        <v>3</v>
      </c>
      <c r="E6">
        <v>4.5</v>
      </c>
      <c r="F6">
        <v>2</v>
      </c>
      <c r="G6">
        <v>1.83</v>
      </c>
      <c r="H6">
        <v>132</v>
      </c>
      <c r="I6" s="1">
        <f t="shared" si="0"/>
        <v>146</v>
      </c>
    </row>
    <row r="7" spans="1:10" x14ac:dyDescent="0.4">
      <c r="A7" t="s">
        <v>30</v>
      </c>
      <c r="B7">
        <v>50</v>
      </c>
      <c r="C7">
        <v>50</v>
      </c>
      <c r="D7">
        <v>4</v>
      </c>
      <c r="E7">
        <v>6.5</v>
      </c>
      <c r="F7">
        <v>3</v>
      </c>
      <c r="G7">
        <v>3.06</v>
      </c>
      <c r="H7">
        <v>160</v>
      </c>
      <c r="I7" s="1">
        <f t="shared" si="0"/>
        <v>176</v>
      </c>
    </row>
    <row r="8" spans="1:10" x14ac:dyDescent="0.4">
      <c r="A8" t="s">
        <v>31</v>
      </c>
      <c r="B8">
        <v>30</v>
      </c>
      <c r="C8">
        <v>30</v>
      </c>
      <c r="D8">
        <v>5</v>
      </c>
      <c r="E8">
        <v>4</v>
      </c>
      <c r="F8">
        <v>3</v>
      </c>
      <c r="G8">
        <v>2.16</v>
      </c>
      <c r="H8">
        <v>145</v>
      </c>
      <c r="I8" s="1">
        <f t="shared" si="0"/>
        <v>160</v>
      </c>
    </row>
    <row r="9" spans="1:10" x14ac:dyDescent="0.4">
      <c r="A9" t="s">
        <v>32</v>
      </c>
      <c r="B9">
        <v>40</v>
      </c>
      <c r="C9">
        <v>40</v>
      </c>
      <c r="D9">
        <v>5</v>
      </c>
      <c r="E9">
        <v>4.5</v>
      </c>
      <c r="F9">
        <v>3</v>
      </c>
      <c r="G9">
        <v>3.7549999999999999</v>
      </c>
      <c r="H9">
        <v>128</v>
      </c>
      <c r="I9" s="1">
        <f t="shared" si="0"/>
        <v>141</v>
      </c>
    </row>
    <row r="10" spans="1:10" x14ac:dyDescent="0.4">
      <c r="A10" t="s">
        <v>33</v>
      </c>
      <c r="B10">
        <v>50</v>
      </c>
      <c r="C10">
        <v>50</v>
      </c>
      <c r="D10">
        <v>6</v>
      </c>
      <c r="E10">
        <v>6.5</v>
      </c>
      <c r="F10">
        <v>4.5</v>
      </c>
      <c r="G10">
        <v>4.43</v>
      </c>
      <c r="H10">
        <v>128</v>
      </c>
      <c r="I10" s="1">
        <f t="shared" si="0"/>
        <v>141</v>
      </c>
    </row>
    <row r="11" spans="1:10" x14ac:dyDescent="0.4">
      <c r="A11" t="s">
        <v>34</v>
      </c>
      <c r="B11">
        <v>65</v>
      </c>
      <c r="C11">
        <v>65</v>
      </c>
      <c r="D11">
        <v>6</v>
      </c>
      <c r="E11">
        <v>8.5</v>
      </c>
      <c r="F11">
        <v>4</v>
      </c>
      <c r="G11">
        <v>5.91</v>
      </c>
      <c r="H11">
        <v>128</v>
      </c>
      <c r="I11" s="1">
        <f t="shared" si="0"/>
        <v>141</v>
      </c>
    </row>
    <row r="12" spans="1:10" x14ac:dyDescent="0.4">
      <c r="A12" t="s">
        <v>35</v>
      </c>
      <c r="B12">
        <v>75</v>
      </c>
      <c r="C12">
        <v>75</v>
      </c>
      <c r="D12">
        <v>6</v>
      </c>
      <c r="E12">
        <v>8.5</v>
      </c>
      <c r="F12">
        <v>4</v>
      </c>
      <c r="G12">
        <v>6.85</v>
      </c>
      <c r="H12">
        <v>140</v>
      </c>
      <c r="I12" s="1">
        <f t="shared" si="0"/>
        <v>154</v>
      </c>
    </row>
    <row r="13" spans="1:10" x14ac:dyDescent="0.4">
      <c r="A13" t="s">
        <v>36</v>
      </c>
      <c r="B13">
        <v>90</v>
      </c>
      <c r="C13">
        <v>90</v>
      </c>
      <c r="D13">
        <v>7</v>
      </c>
      <c r="E13">
        <v>10</v>
      </c>
      <c r="F13">
        <v>5</v>
      </c>
      <c r="G13">
        <v>9.59</v>
      </c>
      <c r="H13">
        <v>140</v>
      </c>
      <c r="I13" s="1">
        <f>ROUNDUP(H13*1.1,0)</f>
        <v>154</v>
      </c>
    </row>
    <row r="14" spans="1:10" x14ac:dyDescent="0.4">
      <c r="A14" t="s">
        <v>37</v>
      </c>
      <c r="B14">
        <v>100</v>
      </c>
      <c r="C14">
        <v>100</v>
      </c>
      <c r="D14">
        <v>7</v>
      </c>
      <c r="E14">
        <v>10</v>
      </c>
      <c r="F14">
        <v>5</v>
      </c>
      <c r="G14">
        <v>10.7</v>
      </c>
      <c r="H14">
        <v>140</v>
      </c>
      <c r="I14" s="1">
        <f t="shared" si="0"/>
        <v>154</v>
      </c>
    </row>
    <row r="15" spans="1:10" x14ac:dyDescent="0.4">
      <c r="A15" t="s">
        <v>38</v>
      </c>
      <c r="B15">
        <v>65</v>
      </c>
      <c r="C15">
        <v>65</v>
      </c>
      <c r="D15">
        <v>8</v>
      </c>
      <c r="E15">
        <v>8.5</v>
      </c>
      <c r="F15">
        <v>6</v>
      </c>
      <c r="G15">
        <v>7.66</v>
      </c>
      <c r="H15">
        <v>140</v>
      </c>
      <c r="I15" s="1">
        <f t="shared" si="0"/>
        <v>154</v>
      </c>
    </row>
    <row r="16" spans="1:10" x14ac:dyDescent="0.4">
      <c r="A16" t="s">
        <v>39</v>
      </c>
      <c r="B16">
        <v>75</v>
      </c>
      <c r="C16">
        <v>75</v>
      </c>
      <c r="D16">
        <v>9</v>
      </c>
      <c r="E16">
        <v>8.5</v>
      </c>
      <c r="F16">
        <v>6</v>
      </c>
      <c r="G16">
        <v>9.9600000000000009</v>
      </c>
      <c r="H16">
        <v>140</v>
      </c>
      <c r="I16" s="1">
        <f t="shared" si="0"/>
        <v>154</v>
      </c>
    </row>
    <row r="17" spans="1:9" x14ac:dyDescent="0.4">
      <c r="A17" t="s">
        <v>40</v>
      </c>
      <c r="B17">
        <v>100</v>
      </c>
      <c r="C17">
        <v>100</v>
      </c>
      <c r="D17">
        <v>10</v>
      </c>
      <c r="E17">
        <v>10</v>
      </c>
      <c r="F17">
        <v>7</v>
      </c>
      <c r="G17">
        <v>14.9</v>
      </c>
      <c r="H17">
        <v>140</v>
      </c>
      <c r="I17" s="1">
        <f t="shared" si="0"/>
        <v>154</v>
      </c>
    </row>
  </sheetData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D7351-0090-4D43-9EAA-2B2FC3DA9DC6}">
  <dimension ref="A1:F9"/>
  <sheetViews>
    <sheetView zoomScale="85" zoomScaleNormal="85" workbookViewId="0">
      <selection sqref="A1:F9"/>
    </sheetView>
  </sheetViews>
  <sheetFormatPr defaultRowHeight="18.75" x14ac:dyDescent="0.4"/>
  <cols>
    <col min="1" max="1" width="13.75" customWidth="1"/>
    <col min="2" max="2" width="10.625" customWidth="1"/>
    <col min="5" max="5" width="9" style="1"/>
  </cols>
  <sheetData>
    <row r="1" spans="1:6" x14ac:dyDescent="0.4">
      <c r="A1" t="s">
        <v>14</v>
      </c>
    </row>
    <row r="2" spans="1:6" x14ac:dyDescent="0.4">
      <c r="A2" t="s">
        <v>15</v>
      </c>
      <c r="B2" t="s">
        <v>48</v>
      </c>
      <c r="C2" t="s">
        <v>7</v>
      </c>
      <c r="D2" t="s">
        <v>9</v>
      </c>
      <c r="E2" s="1" t="s">
        <v>8</v>
      </c>
      <c r="F2" t="s">
        <v>10</v>
      </c>
    </row>
    <row r="3" spans="1:6" x14ac:dyDescent="0.4">
      <c r="A3" t="s">
        <v>41</v>
      </c>
      <c r="B3">
        <v>6</v>
      </c>
      <c r="C3">
        <v>0.88500000000000001</v>
      </c>
      <c r="D3">
        <v>270</v>
      </c>
      <c r="E3" s="1">
        <f>ROUNDUP(D3*1.1,0)</f>
        <v>297</v>
      </c>
    </row>
    <row r="4" spans="1:6" x14ac:dyDescent="0.4">
      <c r="A4" t="s">
        <v>42</v>
      </c>
      <c r="B4">
        <v>9</v>
      </c>
      <c r="C4">
        <v>1.1200000000000001</v>
      </c>
      <c r="D4">
        <v>180</v>
      </c>
      <c r="E4" s="1">
        <f t="shared" ref="E4:E9" si="0">ROUNDUP(D4*1.1,0)</f>
        <v>198</v>
      </c>
    </row>
    <row r="5" spans="1:6" x14ac:dyDescent="0.4">
      <c r="A5" t="s">
        <v>43</v>
      </c>
      <c r="B5">
        <v>13</v>
      </c>
      <c r="C5">
        <v>1.36</v>
      </c>
      <c r="D5">
        <v>150</v>
      </c>
      <c r="E5" s="1">
        <f t="shared" si="0"/>
        <v>165</v>
      </c>
    </row>
    <row r="6" spans="1:6" x14ac:dyDescent="0.4">
      <c r="A6" t="s">
        <v>44</v>
      </c>
      <c r="B6">
        <v>16</v>
      </c>
      <c r="C6">
        <v>1.83</v>
      </c>
      <c r="D6">
        <v>150</v>
      </c>
      <c r="E6" s="1">
        <f t="shared" si="0"/>
        <v>165</v>
      </c>
    </row>
    <row r="7" spans="1:6" x14ac:dyDescent="0.4">
      <c r="A7" t="s">
        <v>49</v>
      </c>
      <c r="B7">
        <v>19</v>
      </c>
      <c r="C7">
        <v>3.06</v>
      </c>
      <c r="D7">
        <v>150</v>
      </c>
      <c r="E7" s="1">
        <f t="shared" si="0"/>
        <v>165</v>
      </c>
    </row>
    <row r="8" spans="1:6" x14ac:dyDescent="0.4">
      <c r="A8" t="s">
        <v>45</v>
      </c>
      <c r="B8">
        <v>22</v>
      </c>
      <c r="C8">
        <v>2.16</v>
      </c>
      <c r="D8">
        <v>150</v>
      </c>
      <c r="E8" s="1">
        <f t="shared" si="0"/>
        <v>165</v>
      </c>
    </row>
    <row r="9" spans="1:6" x14ac:dyDescent="0.4">
      <c r="A9" t="s">
        <v>46</v>
      </c>
      <c r="B9">
        <v>25</v>
      </c>
      <c r="C9">
        <v>3.7549999999999999</v>
      </c>
      <c r="D9">
        <v>150</v>
      </c>
      <c r="E9" s="1">
        <f t="shared" si="0"/>
        <v>165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C51-B7A6-41FE-B11E-95C2603A8677}">
  <dimension ref="A1:G12"/>
  <sheetViews>
    <sheetView zoomScale="85" zoomScaleNormal="85" workbookViewId="0">
      <selection activeCell="C11" sqref="A1:G12"/>
    </sheetView>
  </sheetViews>
  <sheetFormatPr defaultRowHeight="18.75" x14ac:dyDescent="0.4"/>
  <cols>
    <col min="1" max="1" width="13.75" customWidth="1"/>
    <col min="2" max="2" width="10.625" customWidth="1"/>
    <col min="6" max="6" width="9" style="1"/>
  </cols>
  <sheetData>
    <row r="1" spans="1:7" x14ac:dyDescent="0.4">
      <c r="A1" t="s">
        <v>47</v>
      </c>
    </row>
    <row r="2" spans="1:7" x14ac:dyDescent="0.4">
      <c r="A2" t="s">
        <v>15</v>
      </c>
      <c r="B2" t="s">
        <v>59</v>
      </c>
      <c r="C2" t="s">
        <v>60</v>
      </c>
      <c r="D2" t="s">
        <v>7</v>
      </c>
      <c r="E2" t="s">
        <v>62</v>
      </c>
      <c r="F2" s="1" t="s">
        <v>8</v>
      </c>
      <c r="G2" t="s">
        <v>10</v>
      </c>
    </row>
    <row r="3" spans="1:7" x14ac:dyDescent="0.4">
      <c r="A3" t="s">
        <v>50</v>
      </c>
      <c r="B3">
        <v>21.7</v>
      </c>
      <c r="C3">
        <v>2.8</v>
      </c>
      <c r="D3">
        <v>1.31</v>
      </c>
      <c r="E3">
        <v>230</v>
      </c>
      <c r="F3" s="1">
        <f>ROUNDUP(E3*1.1,0)</f>
        <v>253</v>
      </c>
    </row>
    <row r="4" spans="1:7" x14ac:dyDescent="0.4">
      <c r="A4" t="s">
        <v>51</v>
      </c>
      <c r="B4">
        <v>27.2</v>
      </c>
      <c r="C4">
        <v>2.8</v>
      </c>
      <c r="D4">
        <v>1.68</v>
      </c>
      <c r="E4">
        <v>230</v>
      </c>
      <c r="F4" s="1">
        <f t="shared" ref="F4:F12" si="0">ROUNDUP(E4*1.1,0)</f>
        <v>253</v>
      </c>
    </row>
    <row r="5" spans="1:7" x14ac:dyDescent="0.4">
      <c r="A5" t="s">
        <v>52</v>
      </c>
      <c r="B5">
        <v>34</v>
      </c>
      <c r="C5">
        <v>3.2</v>
      </c>
      <c r="D5">
        <v>27.6</v>
      </c>
      <c r="E5">
        <v>230</v>
      </c>
      <c r="F5" s="1">
        <f t="shared" si="0"/>
        <v>253</v>
      </c>
    </row>
    <row r="6" spans="1:7" x14ac:dyDescent="0.4">
      <c r="A6" t="s">
        <v>53</v>
      </c>
      <c r="B6">
        <v>42.7</v>
      </c>
      <c r="C6">
        <v>3.5</v>
      </c>
      <c r="D6">
        <v>3.38</v>
      </c>
      <c r="E6">
        <v>230</v>
      </c>
      <c r="F6" s="1">
        <f t="shared" si="0"/>
        <v>253</v>
      </c>
    </row>
    <row r="7" spans="1:7" x14ac:dyDescent="0.4">
      <c r="A7" t="s">
        <v>54</v>
      </c>
      <c r="B7">
        <v>48.6</v>
      </c>
      <c r="C7">
        <v>3.5</v>
      </c>
      <c r="D7">
        <v>3.89</v>
      </c>
      <c r="E7">
        <v>230</v>
      </c>
      <c r="F7" s="1">
        <f t="shared" si="0"/>
        <v>253</v>
      </c>
    </row>
    <row r="8" spans="1:7" x14ac:dyDescent="0.4">
      <c r="A8" t="s">
        <v>55</v>
      </c>
      <c r="B8">
        <v>60.5</v>
      </c>
      <c r="C8">
        <v>4.2</v>
      </c>
      <c r="D8">
        <v>5.31</v>
      </c>
      <c r="E8">
        <v>230</v>
      </c>
      <c r="F8" s="1">
        <f t="shared" si="0"/>
        <v>253</v>
      </c>
    </row>
    <row r="9" spans="1:7" x14ac:dyDescent="0.4">
      <c r="A9" t="s">
        <v>56</v>
      </c>
      <c r="B9">
        <v>114.3</v>
      </c>
      <c r="C9">
        <v>4.5</v>
      </c>
      <c r="D9">
        <v>12.2</v>
      </c>
      <c r="E9">
        <v>230</v>
      </c>
      <c r="F9" s="1">
        <f t="shared" si="0"/>
        <v>253</v>
      </c>
    </row>
    <row r="10" spans="1:7" x14ac:dyDescent="0.4">
      <c r="A10" t="s">
        <v>57</v>
      </c>
      <c r="B10">
        <v>139.80000000000001</v>
      </c>
      <c r="C10">
        <v>4.5</v>
      </c>
      <c r="D10">
        <v>15</v>
      </c>
      <c r="F10" s="1">
        <f t="shared" si="0"/>
        <v>0</v>
      </c>
    </row>
    <row r="11" spans="1:7" x14ac:dyDescent="0.4">
      <c r="A11" t="s">
        <v>58</v>
      </c>
      <c r="B11">
        <v>165.2</v>
      </c>
      <c r="C11">
        <v>5</v>
      </c>
      <c r="D11">
        <v>19.8</v>
      </c>
      <c r="F11" s="1">
        <f t="shared" si="0"/>
        <v>0</v>
      </c>
    </row>
    <row r="12" spans="1:7" x14ac:dyDescent="0.4">
      <c r="A12" t="s">
        <v>61</v>
      </c>
      <c r="B12">
        <v>190.7</v>
      </c>
      <c r="C12">
        <v>5.8</v>
      </c>
      <c r="D12">
        <v>30.1</v>
      </c>
      <c r="F12" s="1">
        <f t="shared" si="0"/>
        <v>0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2B16-B526-48A8-B97F-D11E239CB9AD}">
  <dimension ref="A1:H46"/>
  <sheetViews>
    <sheetView topLeftCell="A10" zoomScale="85" zoomScaleNormal="85" workbookViewId="0">
      <selection activeCell="J37" sqref="J37"/>
    </sheetView>
  </sheetViews>
  <sheetFormatPr defaultRowHeight="18.75" x14ac:dyDescent="0.4"/>
  <cols>
    <col min="1" max="1" width="13.75" customWidth="1"/>
    <col min="2" max="3" width="10.625" customWidth="1"/>
    <col min="7" max="7" width="9" style="1"/>
  </cols>
  <sheetData>
    <row r="1" spans="1:8" x14ac:dyDescent="0.4">
      <c r="A1" t="s">
        <v>47</v>
      </c>
    </row>
    <row r="2" spans="1:8" x14ac:dyDescent="0.4">
      <c r="A2" t="s">
        <v>15</v>
      </c>
      <c r="B2" t="s">
        <v>0</v>
      </c>
      <c r="C2" t="s">
        <v>2</v>
      </c>
      <c r="D2" t="s">
        <v>60</v>
      </c>
      <c r="E2" t="s">
        <v>7</v>
      </c>
      <c r="F2" t="s">
        <v>62</v>
      </c>
      <c r="G2" s="1" t="s">
        <v>8</v>
      </c>
      <c r="H2" t="s">
        <v>10</v>
      </c>
    </row>
    <row r="3" spans="1:8" x14ac:dyDescent="0.4">
      <c r="A3" t="s">
        <v>84</v>
      </c>
      <c r="B3">
        <v>16</v>
      </c>
      <c r="C3">
        <v>16</v>
      </c>
      <c r="D3">
        <v>1.6</v>
      </c>
      <c r="F3">
        <v>240</v>
      </c>
      <c r="G3" s="1">
        <f>ROUNDUP(F3*1.1,0)</f>
        <v>264</v>
      </c>
    </row>
    <row r="4" spans="1:8" x14ac:dyDescent="0.4">
      <c r="A4" t="s">
        <v>85</v>
      </c>
      <c r="B4">
        <v>19</v>
      </c>
      <c r="C4">
        <v>19</v>
      </c>
      <c r="D4">
        <v>1.6</v>
      </c>
      <c r="F4">
        <v>240</v>
      </c>
      <c r="G4" s="1">
        <f t="shared" ref="G4:G46" si="0">ROUNDUP(F4*1.1,0)</f>
        <v>264</v>
      </c>
    </row>
    <row r="5" spans="1:8" x14ac:dyDescent="0.4">
      <c r="A5" t="s">
        <v>86</v>
      </c>
      <c r="B5">
        <v>21</v>
      </c>
      <c r="C5">
        <v>21</v>
      </c>
      <c r="D5">
        <v>1.6</v>
      </c>
      <c r="F5">
        <v>240</v>
      </c>
      <c r="G5" s="1">
        <f t="shared" si="0"/>
        <v>264</v>
      </c>
    </row>
    <row r="6" spans="1:8" x14ac:dyDescent="0.4">
      <c r="A6" t="s">
        <v>87</v>
      </c>
      <c r="B6">
        <v>25</v>
      </c>
      <c r="C6">
        <v>25</v>
      </c>
      <c r="D6">
        <v>1.6</v>
      </c>
      <c r="F6">
        <v>240</v>
      </c>
      <c r="G6" s="1">
        <f t="shared" si="0"/>
        <v>264</v>
      </c>
    </row>
    <row r="7" spans="1:8" x14ac:dyDescent="0.4">
      <c r="A7" t="s">
        <v>88</v>
      </c>
      <c r="B7">
        <v>30</v>
      </c>
      <c r="C7">
        <v>30</v>
      </c>
      <c r="D7">
        <v>1.6</v>
      </c>
      <c r="F7">
        <v>250</v>
      </c>
      <c r="G7" s="1">
        <f t="shared" si="0"/>
        <v>275</v>
      </c>
    </row>
    <row r="8" spans="1:8" x14ac:dyDescent="0.4">
      <c r="A8" t="s">
        <v>89</v>
      </c>
      <c r="B8">
        <v>31</v>
      </c>
      <c r="C8">
        <v>31</v>
      </c>
      <c r="D8">
        <v>1.6</v>
      </c>
      <c r="F8">
        <v>240</v>
      </c>
      <c r="G8" s="1">
        <f t="shared" si="0"/>
        <v>264</v>
      </c>
    </row>
    <row r="9" spans="1:8" x14ac:dyDescent="0.4">
      <c r="A9" t="s">
        <v>90</v>
      </c>
      <c r="B9">
        <v>32</v>
      </c>
      <c r="C9">
        <v>32</v>
      </c>
      <c r="D9">
        <v>1.6</v>
      </c>
      <c r="F9">
        <v>240</v>
      </c>
      <c r="G9" s="1">
        <f t="shared" si="0"/>
        <v>264</v>
      </c>
    </row>
    <row r="10" spans="1:8" x14ac:dyDescent="0.4">
      <c r="A10" t="s">
        <v>91</v>
      </c>
      <c r="B10">
        <v>32</v>
      </c>
      <c r="C10">
        <v>14</v>
      </c>
      <c r="D10">
        <v>1.6</v>
      </c>
      <c r="F10">
        <v>240</v>
      </c>
      <c r="G10" s="1">
        <f t="shared" si="0"/>
        <v>264</v>
      </c>
    </row>
    <row r="11" spans="1:8" x14ac:dyDescent="0.4">
      <c r="A11" t="s">
        <v>92</v>
      </c>
      <c r="B11">
        <v>38</v>
      </c>
      <c r="C11">
        <v>38</v>
      </c>
      <c r="D11">
        <v>1.6</v>
      </c>
      <c r="F11">
        <v>240</v>
      </c>
      <c r="G11" s="1">
        <f t="shared" si="0"/>
        <v>264</v>
      </c>
    </row>
    <row r="12" spans="1:8" x14ac:dyDescent="0.4">
      <c r="A12" t="s">
        <v>93</v>
      </c>
      <c r="B12">
        <v>40</v>
      </c>
      <c r="C12">
        <v>25</v>
      </c>
      <c r="D12">
        <v>1.6</v>
      </c>
      <c r="F12">
        <v>240</v>
      </c>
      <c r="G12" s="1">
        <f t="shared" si="0"/>
        <v>264</v>
      </c>
    </row>
    <row r="13" spans="1:8" x14ac:dyDescent="0.4">
      <c r="A13" t="s">
        <v>94</v>
      </c>
      <c r="B13">
        <v>40</v>
      </c>
      <c r="C13">
        <v>20</v>
      </c>
      <c r="D13">
        <v>1.6</v>
      </c>
      <c r="F13">
        <v>240</v>
      </c>
      <c r="G13" s="1">
        <f t="shared" si="0"/>
        <v>264</v>
      </c>
    </row>
    <row r="14" spans="1:8" x14ac:dyDescent="0.4">
      <c r="A14" t="s">
        <v>95</v>
      </c>
      <c r="B14">
        <v>50</v>
      </c>
      <c r="C14">
        <v>30</v>
      </c>
      <c r="D14">
        <v>1.6</v>
      </c>
      <c r="F14">
        <v>240</v>
      </c>
      <c r="G14" s="1">
        <f t="shared" si="0"/>
        <v>264</v>
      </c>
    </row>
    <row r="15" spans="1:8" x14ac:dyDescent="0.4">
      <c r="A15" t="s">
        <v>96</v>
      </c>
      <c r="B15">
        <v>50</v>
      </c>
      <c r="C15">
        <v>26</v>
      </c>
      <c r="D15">
        <v>1.6</v>
      </c>
      <c r="F15">
        <v>240</v>
      </c>
      <c r="G15" s="1">
        <f t="shared" si="0"/>
        <v>264</v>
      </c>
    </row>
    <row r="16" spans="1:8" x14ac:dyDescent="0.4">
      <c r="A16" t="s">
        <v>97</v>
      </c>
      <c r="B16">
        <v>40</v>
      </c>
      <c r="C16">
        <v>40</v>
      </c>
      <c r="D16">
        <v>2</v>
      </c>
      <c r="F16">
        <v>240</v>
      </c>
      <c r="G16" s="1">
        <f t="shared" si="0"/>
        <v>264</v>
      </c>
    </row>
    <row r="17" spans="1:7" x14ac:dyDescent="0.4">
      <c r="A17" t="s">
        <v>98</v>
      </c>
      <c r="B17">
        <v>50</v>
      </c>
      <c r="C17">
        <v>50</v>
      </c>
      <c r="D17">
        <v>1.6</v>
      </c>
      <c r="F17">
        <v>195</v>
      </c>
      <c r="G17" s="1">
        <f t="shared" si="0"/>
        <v>215</v>
      </c>
    </row>
    <row r="18" spans="1:7" x14ac:dyDescent="0.4">
      <c r="A18" t="s">
        <v>99</v>
      </c>
      <c r="B18">
        <v>60</v>
      </c>
      <c r="C18">
        <v>30</v>
      </c>
      <c r="D18">
        <v>1.6</v>
      </c>
      <c r="F18">
        <v>195</v>
      </c>
      <c r="G18" s="1">
        <f t="shared" si="0"/>
        <v>215</v>
      </c>
    </row>
    <row r="19" spans="1:7" x14ac:dyDescent="0.4">
      <c r="A19" t="s">
        <v>100</v>
      </c>
      <c r="B19">
        <v>30</v>
      </c>
      <c r="C19">
        <v>30</v>
      </c>
      <c r="D19">
        <v>2.2999999999999998</v>
      </c>
      <c r="F19">
        <v>230</v>
      </c>
      <c r="G19" s="1">
        <f t="shared" si="0"/>
        <v>253</v>
      </c>
    </row>
    <row r="20" spans="1:7" x14ac:dyDescent="0.4">
      <c r="A20" t="s">
        <v>150</v>
      </c>
      <c r="B20">
        <v>50</v>
      </c>
      <c r="C20">
        <v>20</v>
      </c>
      <c r="D20">
        <v>2.2999999999999998</v>
      </c>
      <c r="F20">
        <v>230</v>
      </c>
      <c r="G20" s="1">
        <f t="shared" si="0"/>
        <v>253</v>
      </c>
    </row>
    <row r="21" spans="1:7" x14ac:dyDescent="0.4">
      <c r="A21" t="s">
        <v>151</v>
      </c>
      <c r="B21">
        <v>40</v>
      </c>
      <c r="C21">
        <v>20</v>
      </c>
      <c r="D21">
        <v>2.2999999999999998</v>
      </c>
      <c r="F21">
        <v>230</v>
      </c>
      <c r="G21" s="1">
        <f t="shared" si="0"/>
        <v>253</v>
      </c>
    </row>
    <row r="22" spans="1:7" x14ac:dyDescent="0.4">
      <c r="A22" t="s">
        <v>152</v>
      </c>
      <c r="B22">
        <v>40</v>
      </c>
      <c r="C22">
        <v>40</v>
      </c>
      <c r="D22">
        <v>2.2999999999999998</v>
      </c>
      <c r="F22">
        <v>230</v>
      </c>
      <c r="G22" s="1">
        <f t="shared" si="0"/>
        <v>253</v>
      </c>
    </row>
    <row r="23" spans="1:7" x14ac:dyDescent="0.4">
      <c r="A23" t="s">
        <v>153</v>
      </c>
      <c r="B23">
        <v>50</v>
      </c>
      <c r="C23">
        <v>50</v>
      </c>
      <c r="D23">
        <v>2.2999999999999998</v>
      </c>
      <c r="F23">
        <v>185</v>
      </c>
      <c r="G23" s="1">
        <f t="shared" si="0"/>
        <v>204</v>
      </c>
    </row>
    <row r="24" spans="1:7" x14ac:dyDescent="0.4">
      <c r="A24" t="s">
        <v>154</v>
      </c>
      <c r="B24">
        <v>60</v>
      </c>
      <c r="C24">
        <v>30</v>
      </c>
      <c r="D24">
        <v>2.2999999999999998</v>
      </c>
      <c r="F24">
        <v>185</v>
      </c>
      <c r="G24" s="1">
        <f t="shared" si="0"/>
        <v>204</v>
      </c>
    </row>
    <row r="25" spans="1:7" x14ac:dyDescent="0.4">
      <c r="A25" t="s">
        <v>155</v>
      </c>
      <c r="B25">
        <v>60</v>
      </c>
      <c r="C25">
        <v>60</v>
      </c>
      <c r="D25">
        <v>2.2999999999999998</v>
      </c>
      <c r="F25">
        <v>185</v>
      </c>
      <c r="G25" s="1">
        <f t="shared" si="0"/>
        <v>204</v>
      </c>
    </row>
    <row r="26" spans="1:7" x14ac:dyDescent="0.4">
      <c r="A26" t="s">
        <v>156</v>
      </c>
      <c r="B26">
        <v>75</v>
      </c>
      <c r="C26">
        <v>45</v>
      </c>
      <c r="D26">
        <v>2.2999999999999998</v>
      </c>
      <c r="F26">
        <v>185</v>
      </c>
      <c r="G26" s="1">
        <f t="shared" si="0"/>
        <v>204</v>
      </c>
    </row>
    <row r="27" spans="1:7" x14ac:dyDescent="0.4">
      <c r="A27" t="s">
        <v>157</v>
      </c>
      <c r="B27">
        <v>75</v>
      </c>
      <c r="C27">
        <v>75</v>
      </c>
      <c r="D27">
        <v>2.2999999999999998</v>
      </c>
      <c r="F27">
        <v>185</v>
      </c>
      <c r="G27" s="1">
        <f t="shared" si="0"/>
        <v>204</v>
      </c>
    </row>
    <row r="28" spans="1:7" x14ac:dyDescent="0.4">
      <c r="A28" t="s">
        <v>158</v>
      </c>
      <c r="B28">
        <v>90</v>
      </c>
      <c r="C28">
        <v>90</v>
      </c>
      <c r="D28">
        <v>2.2999999999999998</v>
      </c>
      <c r="F28">
        <v>195</v>
      </c>
      <c r="G28" s="1">
        <f t="shared" si="0"/>
        <v>215</v>
      </c>
    </row>
    <row r="29" spans="1:7" x14ac:dyDescent="0.4">
      <c r="A29" t="s">
        <v>159</v>
      </c>
      <c r="B29">
        <v>100</v>
      </c>
      <c r="C29">
        <v>50</v>
      </c>
      <c r="D29">
        <v>2.2999999999999998</v>
      </c>
      <c r="F29">
        <v>185</v>
      </c>
      <c r="G29" s="1">
        <f t="shared" si="0"/>
        <v>204</v>
      </c>
    </row>
    <row r="30" spans="1:7" x14ac:dyDescent="0.4">
      <c r="A30" t="s">
        <v>160</v>
      </c>
      <c r="B30">
        <v>100</v>
      </c>
      <c r="C30">
        <v>100</v>
      </c>
      <c r="D30">
        <v>2.2999999999999998</v>
      </c>
      <c r="F30">
        <v>185</v>
      </c>
      <c r="G30" s="1">
        <f t="shared" si="0"/>
        <v>204</v>
      </c>
    </row>
    <row r="31" spans="1:7" x14ac:dyDescent="0.4">
      <c r="A31" t="s">
        <v>161</v>
      </c>
      <c r="B31">
        <v>30</v>
      </c>
      <c r="C31">
        <v>30</v>
      </c>
      <c r="D31">
        <v>3.2</v>
      </c>
      <c r="F31">
        <v>230</v>
      </c>
      <c r="G31" s="1">
        <f t="shared" si="0"/>
        <v>253</v>
      </c>
    </row>
    <row r="32" spans="1:7" x14ac:dyDescent="0.4">
      <c r="A32" t="s">
        <v>162</v>
      </c>
      <c r="B32">
        <v>40</v>
      </c>
      <c r="C32">
        <v>40</v>
      </c>
      <c r="D32">
        <v>3.2</v>
      </c>
      <c r="F32">
        <v>230</v>
      </c>
      <c r="G32" s="1">
        <f t="shared" si="0"/>
        <v>253</v>
      </c>
    </row>
    <row r="33" spans="1:7" x14ac:dyDescent="0.4">
      <c r="A33" t="s">
        <v>163</v>
      </c>
      <c r="B33">
        <v>50</v>
      </c>
      <c r="C33">
        <v>50</v>
      </c>
      <c r="D33">
        <v>3.2</v>
      </c>
      <c r="F33">
        <v>185</v>
      </c>
      <c r="G33" s="1">
        <f t="shared" si="0"/>
        <v>204</v>
      </c>
    </row>
    <row r="34" spans="1:7" x14ac:dyDescent="0.4">
      <c r="A34" t="s">
        <v>164</v>
      </c>
      <c r="B34">
        <v>60</v>
      </c>
      <c r="C34">
        <v>30</v>
      </c>
      <c r="D34">
        <v>3.2</v>
      </c>
      <c r="F34">
        <v>185</v>
      </c>
      <c r="G34" s="1">
        <f t="shared" si="0"/>
        <v>204</v>
      </c>
    </row>
    <row r="35" spans="1:7" x14ac:dyDescent="0.4">
      <c r="A35" t="s">
        <v>165</v>
      </c>
      <c r="B35">
        <v>60</v>
      </c>
      <c r="C35">
        <v>60</v>
      </c>
      <c r="D35">
        <v>3.2</v>
      </c>
      <c r="F35">
        <v>185</v>
      </c>
      <c r="G35" s="1">
        <f t="shared" si="0"/>
        <v>204</v>
      </c>
    </row>
    <row r="36" spans="1:7" x14ac:dyDescent="0.4">
      <c r="A36" t="s">
        <v>166</v>
      </c>
      <c r="B36">
        <v>75</v>
      </c>
      <c r="C36">
        <v>45</v>
      </c>
      <c r="D36">
        <v>3.2</v>
      </c>
      <c r="F36">
        <v>185</v>
      </c>
      <c r="G36" s="1">
        <f t="shared" si="0"/>
        <v>204</v>
      </c>
    </row>
    <row r="37" spans="1:7" x14ac:dyDescent="0.4">
      <c r="A37" t="s">
        <v>167</v>
      </c>
      <c r="B37">
        <v>75</v>
      </c>
      <c r="C37">
        <v>75</v>
      </c>
      <c r="D37">
        <v>3.2</v>
      </c>
      <c r="F37">
        <v>185</v>
      </c>
      <c r="G37" s="1">
        <f t="shared" si="0"/>
        <v>204</v>
      </c>
    </row>
    <row r="38" spans="1:7" x14ac:dyDescent="0.4">
      <c r="A38" t="s">
        <v>168</v>
      </c>
      <c r="B38">
        <v>90</v>
      </c>
      <c r="C38">
        <v>90</v>
      </c>
      <c r="D38">
        <v>3.2</v>
      </c>
      <c r="F38">
        <v>195</v>
      </c>
      <c r="G38" s="1">
        <f t="shared" si="0"/>
        <v>215</v>
      </c>
    </row>
    <row r="39" spans="1:7" x14ac:dyDescent="0.4">
      <c r="A39" t="s">
        <v>169</v>
      </c>
      <c r="B39">
        <v>10</v>
      </c>
      <c r="C39">
        <v>50</v>
      </c>
      <c r="D39">
        <v>3.2</v>
      </c>
      <c r="F39">
        <v>185</v>
      </c>
      <c r="G39" s="1">
        <f t="shared" si="0"/>
        <v>204</v>
      </c>
    </row>
    <row r="40" spans="1:7" x14ac:dyDescent="0.4">
      <c r="A40" t="s">
        <v>170</v>
      </c>
      <c r="B40">
        <v>100</v>
      </c>
      <c r="C40">
        <v>100</v>
      </c>
      <c r="D40">
        <v>3.2</v>
      </c>
      <c r="F40">
        <v>185</v>
      </c>
      <c r="G40" s="1">
        <f t="shared" si="0"/>
        <v>204</v>
      </c>
    </row>
    <row r="41" spans="1:7" x14ac:dyDescent="0.4">
      <c r="A41" t="s">
        <v>171</v>
      </c>
      <c r="B41">
        <v>75</v>
      </c>
      <c r="C41">
        <v>75</v>
      </c>
      <c r="D41">
        <v>4.5</v>
      </c>
      <c r="F41">
        <v>210</v>
      </c>
      <c r="G41" s="1">
        <f t="shared" si="0"/>
        <v>231</v>
      </c>
    </row>
    <row r="42" spans="1:7" x14ac:dyDescent="0.4">
      <c r="A42" t="s">
        <v>172</v>
      </c>
      <c r="B42">
        <v>100</v>
      </c>
      <c r="C42">
        <v>100</v>
      </c>
      <c r="D42">
        <v>4.5</v>
      </c>
      <c r="F42">
        <v>190</v>
      </c>
      <c r="G42" s="1">
        <f t="shared" si="0"/>
        <v>209</v>
      </c>
    </row>
    <row r="43" spans="1:7" x14ac:dyDescent="0.4">
      <c r="A43" t="s">
        <v>173</v>
      </c>
      <c r="B43">
        <v>125</v>
      </c>
      <c r="C43">
        <v>125</v>
      </c>
      <c r="D43">
        <v>4.5</v>
      </c>
      <c r="F43">
        <v>190</v>
      </c>
      <c r="G43" s="1">
        <f t="shared" si="0"/>
        <v>209</v>
      </c>
    </row>
    <row r="44" spans="1:7" x14ac:dyDescent="0.4">
      <c r="A44" t="s">
        <v>174</v>
      </c>
      <c r="B44">
        <v>100</v>
      </c>
      <c r="C44">
        <v>100</v>
      </c>
      <c r="D44">
        <v>6</v>
      </c>
      <c r="F44">
        <v>190</v>
      </c>
      <c r="G44" s="1">
        <f t="shared" si="0"/>
        <v>209</v>
      </c>
    </row>
    <row r="45" spans="1:7" x14ac:dyDescent="0.4">
      <c r="A45" t="s">
        <v>175</v>
      </c>
      <c r="B45">
        <v>125</v>
      </c>
      <c r="C45">
        <v>125</v>
      </c>
      <c r="D45">
        <v>6</v>
      </c>
      <c r="F45">
        <v>190</v>
      </c>
      <c r="G45" s="1">
        <f t="shared" si="0"/>
        <v>209</v>
      </c>
    </row>
    <row r="46" spans="1:7" x14ac:dyDescent="0.4">
      <c r="A46" t="s">
        <v>176</v>
      </c>
      <c r="B46">
        <v>150</v>
      </c>
      <c r="C46">
        <v>50</v>
      </c>
      <c r="D46">
        <v>6</v>
      </c>
      <c r="F46">
        <v>190</v>
      </c>
      <c r="G46" s="1">
        <f t="shared" si="0"/>
        <v>209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FAEE5-78FD-40A1-BBEB-CB54305E3D18}">
  <dimension ref="A1:G51"/>
  <sheetViews>
    <sheetView zoomScale="85" zoomScaleNormal="85" workbookViewId="0">
      <selection activeCell="D5" sqref="D5"/>
    </sheetView>
  </sheetViews>
  <sheetFormatPr defaultRowHeight="18.75" x14ac:dyDescent="0.4"/>
  <cols>
    <col min="1" max="1" width="13.75" customWidth="1"/>
    <col min="2" max="2" width="10.625" customWidth="1"/>
    <col min="6" max="6" width="9" style="1"/>
  </cols>
  <sheetData>
    <row r="1" spans="1:7" x14ac:dyDescent="0.4">
      <c r="A1" t="s">
        <v>177</v>
      </c>
    </row>
    <row r="2" spans="1:7" x14ac:dyDescent="0.4">
      <c r="A2" t="s">
        <v>15</v>
      </c>
      <c r="B2" t="s">
        <v>0</v>
      </c>
      <c r="C2" t="s">
        <v>60</v>
      </c>
      <c r="D2" t="s">
        <v>7</v>
      </c>
      <c r="E2" t="s">
        <v>62</v>
      </c>
      <c r="F2" s="1" t="s">
        <v>8</v>
      </c>
      <c r="G2" t="s">
        <v>10</v>
      </c>
    </row>
    <row r="3" spans="1:7" x14ac:dyDescent="0.4">
      <c r="A3" t="s">
        <v>101</v>
      </c>
      <c r="B3">
        <v>25</v>
      </c>
      <c r="C3">
        <v>3</v>
      </c>
      <c r="E3">
        <v>275</v>
      </c>
      <c r="F3" s="1">
        <f>ROUNDUP(E3*1.1,0)</f>
        <v>303</v>
      </c>
    </row>
    <row r="4" spans="1:7" x14ac:dyDescent="0.4">
      <c r="A4" t="s">
        <v>102</v>
      </c>
      <c r="B4">
        <v>32</v>
      </c>
      <c r="C4">
        <v>3</v>
      </c>
      <c r="E4">
        <v>260</v>
      </c>
      <c r="F4" s="1">
        <f t="shared" ref="F4:F51" si="0">ROUNDUP(E4*1.1,0)</f>
        <v>286</v>
      </c>
    </row>
    <row r="5" spans="1:7" x14ac:dyDescent="0.4">
      <c r="A5" t="s">
        <v>103</v>
      </c>
      <c r="B5">
        <v>38</v>
      </c>
      <c r="C5">
        <v>3</v>
      </c>
      <c r="E5">
        <v>260</v>
      </c>
      <c r="F5" s="1">
        <f t="shared" si="0"/>
        <v>286</v>
      </c>
    </row>
    <row r="6" spans="1:7" x14ac:dyDescent="0.4">
      <c r="A6" t="s">
        <v>104</v>
      </c>
      <c r="B6">
        <v>50</v>
      </c>
      <c r="C6">
        <v>3</v>
      </c>
      <c r="E6">
        <v>260</v>
      </c>
      <c r="F6" s="1">
        <f t="shared" si="0"/>
        <v>286</v>
      </c>
    </row>
    <row r="7" spans="1:7" x14ac:dyDescent="0.4">
      <c r="A7" t="s">
        <v>105</v>
      </c>
      <c r="B7">
        <v>100</v>
      </c>
      <c r="C7">
        <v>3</v>
      </c>
      <c r="E7">
        <v>260</v>
      </c>
      <c r="F7" s="1">
        <f t="shared" si="0"/>
        <v>286</v>
      </c>
    </row>
    <row r="8" spans="1:7" x14ac:dyDescent="0.4">
      <c r="A8" t="s">
        <v>107</v>
      </c>
      <c r="B8">
        <v>25</v>
      </c>
      <c r="C8">
        <v>4.5</v>
      </c>
      <c r="E8">
        <v>212</v>
      </c>
      <c r="F8" s="1">
        <f t="shared" si="0"/>
        <v>234</v>
      </c>
    </row>
    <row r="9" spans="1:7" x14ac:dyDescent="0.4">
      <c r="A9" t="s">
        <v>108</v>
      </c>
      <c r="B9">
        <v>32</v>
      </c>
      <c r="C9">
        <v>4.5</v>
      </c>
      <c r="E9">
        <v>185</v>
      </c>
      <c r="F9" s="1">
        <f t="shared" si="0"/>
        <v>204</v>
      </c>
    </row>
    <row r="10" spans="1:7" x14ac:dyDescent="0.4">
      <c r="A10" t="s">
        <v>106</v>
      </c>
      <c r="B10">
        <v>38</v>
      </c>
      <c r="C10">
        <v>4.5</v>
      </c>
      <c r="E10">
        <v>185</v>
      </c>
      <c r="F10" s="1">
        <f t="shared" si="0"/>
        <v>204</v>
      </c>
    </row>
    <row r="11" spans="1:7" x14ac:dyDescent="0.4">
      <c r="A11" t="s">
        <v>109</v>
      </c>
      <c r="B11">
        <v>44</v>
      </c>
      <c r="C11">
        <v>4.5</v>
      </c>
      <c r="E11">
        <v>192</v>
      </c>
      <c r="F11" s="1">
        <f t="shared" si="0"/>
        <v>212</v>
      </c>
    </row>
    <row r="12" spans="1:7" x14ac:dyDescent="0.4">
      <c r="A12" t="s">
        <v>110</v>
      </c>
      <c r="B12">
        <v>50</v>
      </c>
      <c r="C12">
        <v>4.5</v>
      </c>
      <c r="E12">
        <v>185</v>
      </c>
      <c r="F12" s="1">
        <f t="shared" si="0"/>
        <v>204</v>
      </c>
    </row>
    <row r="13" spans="1:7" x14ac:dyDescent="0.4">
      <c r="A13" t="s">
        <v>111</v>
      </c>
      <c r="B13">
        <v>75</v>
      </c>
      <c r="C13">
        <v>4.5</v>
      </c>
      <c r="E13">
        <v>192</v>
      </c>
      <c r="F13" s="1">
        <f t="shared" si="0"/>
        <v>212</v>
      </c>
    </row>
    <row r="14" spans="1:7" x14ac:dyDescent="0.4">
      <c r="A14" t="s">
        <v>112</v>
      </c>
      <c r="B14">
        <v>90</v>
      </c>
      <c r="C14">
        <v>4.5</v>
      </c>
      <c r="E14">
        <v>192</v>
      </c>
      <c r="F14" s="1">
        <f t="shared" si="0"/>
        <v>212</v>
      </c>
    </row>
    <row r="15" spans="1:7" x14ac:dyDescent="0.4">
      <c r="A15" t="s">
        <v>113</v>
      </c>
      <c r="B15">
        <v>100</v>
      </c>
      <c r="C15">
        <v>4.5</v>
      </c>
      <c r="E15">
        <v>192</v>
      </c>
      <c r="F15" s="1">
        <f t="shared" si="0"/>
        <v>212</v>
      </c>
    </row>
    <row r="16" spans="1:7" x14ac:dyDescent="0.4">
      <c r="A16" t="s">
        <v>114</v>
      </c>
      <c r="B16">
        <v>25</v>
      </c>
      <c r="C16">
        <v>6</v>
      </c>
      <c r="E16">
        <v>183</v>
      </c>
      <c r="F16" s="1">
        <f t="shared" si="0"/>
        <v>202</v>
      </c>
    </row>
    <row r="17" spans="1:6" x14ac:dyDescent="0.4">
      <c r="A17" t="s">
        <v>115</v>
      </c>
      <c r="B17">
        <v>32</v>
      </c>
      <c r="C17">
        <v>6</v>
      </c>
      <c r="E17">
        <v>175</v>
      </c>
      <c r="F17" s="1">
        <f t="shared" si="0"/>
        <v>193</v>
      </c>
    </row>
    <row r="18" spans="1:6" x14ac:dyDescent="0.4">
      <c r="A18" t="s">
        <v>116</v>
      </c>
      <c r="B18">
        <v>38</v>
      </c>
      <c r="C18">
        <v>6</v>
      </c>
      <c r="E18">
        <v>178</v>
      </c>
      <c r="F18" s="1">
        <f t="shared" si="0"/>
        <v>196</v>
      </c>
    </row>
    <row r="19" spans="1:6" x14ac:dyDescent="0.4">
      <c r="A19" t="s">
        <v>117</v>
      </c>
      <c r="B19">
        <v>44</v>
      </c>
      <c r="C19">
        <v>6</v>
      </c>
      <c r="E19">
        <v>178</v>
      </c>
      <c r="F19" s="1">
        <f t="shared" si="0"/>
        <v>196</v>
      </c>
    </row>
    <row r="20" spans="1:6" x14ac:dyDescent="0.4">
      <c r="A20" t="s">
        <v>118</v>
      </c>
      <c r="B20">
        <v>50</v>
      </c>
      <c r="C20">
        <v>6</v>
      </c>
      <c r="E20">
        <v>175</v>
      </c>
      <c r="F20" s="1">
        <f t="shared" si="0"/>
        <v>193</v>
      </c>
    </row>
    <row r="21" spans="1:6" x14ac:dyDescent="0.4">
      <c r="A21" t="s">
        <v>119</v>
      </c>
      <c r="B21">
        <v>65</v>
      </c>
      <c r="C21">
        <v>6</v>
      </c>
      <c r="E21">
        <v>175</v>
      </c>
      <c r="F21" s="1">
        <f t="shared" si="0"/>
        <v>193</v>
      </c>
    </row>
    <row r="22" spans="1:6" x14ac:dyDescent="0.4">
      <c r="A22" t="s">
        <v>120</v>
      </c>
      <c r="B22">
        <v>75</v>
      </c>
      <c r="C22">
        <v>6</v>
      </c>
      <c r="E22">
        <v>175</v>
      </c>
      <c r="F22" s="1">
        <f t="shared" si="0"/>
        <v>193</v>
      </c>
    </row>
    <row r="23" spans="1:6" x14ac:dyDescent="0.4">
      <c r="A23" t="s">
        <v>121</v>
      </c>
      <c r="B23">
        <v>90</v>
      </c>
      <c r="C23">
        <v>6</v>
      </c>
      <c r="E23">
        <v>175</v>
      </c>
      <c r="F23" s="1">
        <f t="shared" si="0"/>
        <v>193</v>
      </c>
    </row>
    <row r="24" spans="1:6" x14ac:dyDescent="0.4">
      <c r="A24" t="s">
        <v>122</v>
      </c>
      <c r="B24">
        <v>100</v>
      </c>
      <c r="C24">
        <v>6</v>
      </c>
      <c r="E24">
        <v>175</v>
      </c>
      <c r="F24" s="1">
        <f t="shared" si="0"/>
        <v>193</v>
      </c>
    </row>
    <row r="25" spans="1:6" x14ac:dyDescent="0.4">
      <c r="A25" t="s">
        <v>123</v>
      </c>
      <c r="B25">
        <v>125</v>
      </c>
      <c r="C25">
        <v>6</v>
      </c>
      <c r="E25">
        <v>175</v>
      </c>
      <c r="F25" s="1">
        <f t="shared" si="0"/>
        <v>193</v>
      </c>
    </row>
    <row r="26" spans="1:6" x14ac:dyDescent="0.4">
      <c r="A26" t="s">
        <v>124</v>
      </c>
      <c r="B26">
        <v>150</v>
      </c>
      <c r="C26">
        <v>6</v>
      </c>
      <c r="E26">
        <v>175</v>
      </c>
      <c r="F26" s="1">
        <f t="shared" si="0"/>
        <v>193</v>
      </c>
    </row>
    <row r="27" spans="1:6" x14ac:dyDescent="0.4">
      <c r="A27" t="s">
        <v>125</v>
      </c>
      <c r="B27">
        <v>25</v>
      </c>
      <c r="C27">
        <v>9</v>
      </c>
      <c r="E27">
        <v>178</v>
      </c>
      <c r="F27" s="1">
        <f t="shared" si="0"/>
        <v>196</v>
      </c>
    </row>
    <row r="28" spans="1:6" x14ac:dyDescent="0.4">
      <c r="A28" t="s">
        <v>126</v>
      </c>
      <c r="B28">
        <v>32</v>
      </c>
      <c r="C28">
        <v>9</v>
      </c>
      <c r="E28">
        <v>175</v>
      </c>
      <c r="F28" s="1">
        <f t="shared" si="0"/>
        <v>193</v>
      </c>
    </row>
    <row r="29" spans="1:6" x14ac:dyDescent="0.4">
      <c r="A29" t="s">
        <v>127</v>
      </c>
      <c r="B29">
        <v>38</v>
      </c>
      <c r="C29">
        <v>9</v>
      </c>
      <c r="E29">
        <v>175</v>
      </c>
      <c r="F29" s="1">
        <f t="shared" si="0"/>
        <v>193</v>
      </c>
    </row>
    <row r="30" spans="1:6" x14ac:dyDescent="0.4">
      <c r="A30" t="s">
        <v>128</v>
      </c>
      <c r="B30">
        <v>44</v>
      </c>
      <c r="C30">
        <v>9</v>
      </c>
      <c r="E30">
        <v>175</v>
      </c>
      <c r="F30" s="1">
        <f t="shared" si="0"/>
        <v>193</v>
      </c>
    </row>
    <row r="31" spans="1:6" x14ac:dyDescent="0.4">
      <c r="A31" t="s">
        <v>129</v>
      </c>
      <c r="B31">
        <v>50</v>
      </c>
      <c r="C31">
        <v>9</v>
      </c>
      <c r="E31">
        <v>175</v>
      </c>
      <c r="F31" s="1">
        <f t="shared" si="0"/>
        <v>193</v>
      </c>
    </row>
    <row r="32" spans="1:6" x14ac:dyDescent="0.4">
      <c r="A32" t="s">
        <v>135</v>
      </c>
      <c r="B32">
        <v>65</v>
      </c>
      <c r="C32">
        <v>9</v>
      </c>
      <c r="E32">
        <v>175</v>
      </c>
      <c r="F32" s="1">
        <f t="shared" si="0"/>
        <v>193</v>
      </c>
    </row>
    <row r="33" spans="1:6" x14ac:dyDescent="0.4">
      <c r="A33" t="s">
        <v>130</v>
      </c>
      <c r="B33">
        <v>75</v>
      </c>
      <c r="C33">
        <v>9</v>
      </c>
      <c r="E33">
        <v>175</v>
      </c>
      <c r="F33" s="1">
        <f t="shared" si="0"/>
        <v>193</v>
      </c>
    </row>
    <row r="34" spans="1:6" x14ac:dyDescent="0.4">
      <c r="A34" t="s">
        <v>131</v>
      </c>
      <c r="B34">
        <v>90</v>
      </c>
      <c r="C34">
        <v>9</v>
      </c>
      <c r="E34">
        <v>175</v>
      </c>
      <c r="F34" s="1">
        <f t="shared" si="0"/>
        <v>193</v>
      </c>
    </row>
    <row r="35" spans="1:6" x14ac:dyDescent="0.4">
      <c r="A35" t="s">
        <v>132</v>
      </c>
      <c r="B35">
        <v>100</v>
      </c>
      <c r="C35">
        <v>9</v>
      </c>
      <c r="E35">
        <v>175</v>
      </c>
      <c r="F35" s="1">
        <f t="shared" si="0"/>
        <v>193</v>
      </c>
    </row>
    <row r="36" spans="1:6" x14ac:dyDescent="0.4">
      <c r="A36" t="s">
        <v>133</v>
      </c>
      <c r="B36">
        <v>125</v>
      </c>
      <c r="C36">
        <v>9</v>
      </c>
      <c r="E36">
        <v>175</v>
      </c>
      <c r="F36" s="1">
        <f t="shared" si="0"/>
        <v>193</v>
      </c>
    </row>
    <row r="37" spans="1:6" x14ac:dyDescent="0.4">
      <c r="A37" t="s">
        <v>134</v>
      </c>
      <c r="B37">
        <v>150</v>
      </c>
      <c r="C37">
        <v>9</v>
      </c>
      <c r="E37">
        <v>175</v>
      </c>
      <c r="F37" s="1">
        <f t="shared" si="0"/>
        <v>193</v>
      </c>
    </row>
    <row r="38" spans="1:6" x14ac:dyDescent="0.4">
      <c r="A38" t="s">
        <v>136</v>
      </c>
      <c r="B38">
        <v>38</v>
      </c>
      <c r="C38">
        <v>12</v>
      </c>
      <c r="E38">
        <v>180</v>
      </c>
      <c r="F38" s="1">
        <f t="shared" si="0"/>
        <v>198</v>
      </c>
    </row>
    <row r="39" spans="1:6" x14ac:dyDescent="0.4">
      <c r="A39" t="s">
        <v>137</v>
      </c>
      <c r="B39">
        <v>50</v>
      </c>
      <c r="C39">
        <v>12</v>
      </c>
      <c r="E39">
        <v>178</v>
      </c>
      <c r="F39" s="1">
        <f t="shared" si="0"/>
        <v>196</v>
      </c>
    </row>
    <row r="40" spans="1:6" x14ac:dyDescent="0.4">
      <c r="A40" t="s">
        <v>138</v>
      </c>
      <c r="B40">
        <v>65</v>
      </c>
      <c r="C40">
        <v>12</v>
      </c>
      <c r="E40">
        <v>178</v>
      </c>
      <c r="F40" s="1">
        <f t="shared" si="0"/>
        <v>196</v>
      </c>
    </row>
    <row r="41" spans="1:6" x14ac:dyDescent="0.4">
      <c r="A41" t="s">
        <v>139</v>
      </c>
      <c r="B41">
        <v>75</v>
      </c>
      <c r="C41">
        <v>12</v>
      </c>
      <c r="E41">
        <v>178</v>
      </c>
      <c r="F41" s="1">
        <f t="shared" si="0"/>
        <v>196</v>
      </c>
    </row>
    <row r="42" spans="1:6" x14ac:dyDescent="0.4">
      <c r="A42" t="s">
        <v>140</v>
      </c>
      <c r="B42">
        <v>100</v>
      </c>
      <c r="C42">
        <v>12</v>
      </c>
      <c r="E42">
        <v>178</v>
      </c>
      <c r="F42" s="1">
        <f t="shared" si="0"/>
        <v>196</v>
      </c>
    </row>
    <row r="43" spans="1:6" x14ac:dyDescent="0.4">
      <c r="A43" t="s">
        <v>141</v>
      </c>
      <c r="B43">
        <v>125</v>
      </c>
      <c r="C43">
        <v>12</v>
      </c>
      <c r="E43">
        <v>178</v>
      </c>
      <c r="F43" s="1">
        <f t="shared" si="0"/>
        <v>196</v>
      </c>
    </row>
    <row r="44" spans="1:6" x14ac:dyDescent="0.4">
      <c r="A44" t="s">
        <v>142</v>
      </c>
      <c r="B44">
        <v>150</v>
      </c>
      <c r="C44">
        <v>12</v>
      </c>
      <c r="E44">
        <v>180</v>
      </c>
      <c r="F44" s="1">
        <f t="shared" si="0"/>
        <v>198</v>
      </c>
    </row>
    <row r="45" spans="1:6" x14ac:dyDescent="0.4">
      <c r="A45" t="s">
        <v>143</v>
      </c>
      <c r="B45">
        <v>38</v>
      </c>
      <c r="C45">
        <v>16</v>
      </c>
      <c r="E45">
        <v>180</v>
      </c>
      <c r="F45" s="1">
        <f t="shared" si="0"/>
        <v>198</v>
      </c>
    </row>
    <row r="46" spans="1:6" x14ac:dyDescent="0.4">
      <c r="A46" t="s">
        <v>144</v>
      </c>
      <c r="B46">
        <v>50</v>
      </c>
      <c r="C46">
        <v>16</v>
      </c>
      <c r="E46">
        <v>178</v>
      </c>
      <c r="F46" s="1">
        <f t="shared" si="0"/>
        <v>196</v>
      </c>
    </row>
    <row r="47" spans="1:6" x14ac:dyDescent="0.4">
      <c r="A47" t="s">
        <v>145</v>
      </c>
      <c r="B47">
        <v>65</v>
      </c>
      <c r="C47">
        <v>16</v>
      </c>
      <c r="E47">
        <v>178</v>
      </c>
      <c r="F47" s="1">
        <f t="shared" si="0"/>
        <v>196</v>
      </c>
    </row>
    <row r="48" spans="1:6" x14ac:dyDescent="0.4">
      <c r="A48" t="s">
        <v>146</v>
      </c>
      <c r="B48">
        <v>75</v>
      </c>
      <c r="C48">
        <v>16</v>
      </c>
      <c r="E48">
        <v>178</v>
      </c>
      <c r="F48" s="1">
        <f t="shared" si="0"/>
        <v>196</v>
      </c>
    </row>
    <row r="49" spans="1:6" x14ac:dyDescent="0.4">
      <c r="A49" t="s">
        <v>147</v>
      </c>
      <c r="B49">
        <v>100</v>
      </c>
      <c r="C49">
        <v>16</v>
      </c>
      <c r="E49">
        <v>178</v>
      </c>
      <c r="F49" s="1">
        <f t="shared" si="0"/>
        <v>196</v>
      </c>
    </row>
    <row r="50" spans="1:6" x14ac:dyDescent="0.4">
      <c r="A50" t="s">
        <v>148</v>
      </c>
      <c r="B50">
        <v>125</v>
      </c>
      <c r="C50">
        <v>16</v>
      </c>
      <c r="E50">
        <v>178</v>
      </c>
      <c r="F50" s="1">
        <f t="shared" si="0"/>
        <v>196</v>
      </c>
    </row>
    <row r="51" spans="1:6" x14ac:dyDescent="0.4">
      <c r="A51" t="s">
        <v>149</v>
      </c>
      <c r="B51">
        <v>150</v>
      </c>
      <c r="C51">
        <v>16</v>
      </c>
      <c r="E51">
        <v>180</v>
      </c>
      <c r="F51" s="1">
        <f t="shared" si="0"/>
        <v>198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7DFC-F105-40B2-95FB-D6F6D3CDA998}">
  <dimension ref="A1:I21"/>
  <sheetViews>
    <sheetView zoomScale="70" zoomScaleNormal="70" workbookViewId="0">
      <selection sqref="A1:I21"/>
    </sheetView>
  </sheetViews>
  <sheetFormatPr defaultRowHeight="18.75" x14ac:dyDescent="0.4"/>
  <cols>
    <col min="1" max="1" width="13.75" customWidth="1"/>
    <col min="2" max="2" width="10.625" customWidth="1"/>
    <col min="9" max="9" width="9" style="1"/>
  </cols>
  <sheetData>
    <row r="1" spans="1:9" x14ac:dyDescent="0.4">
      <c r="A1" t="s">
        <v>63</v>
      </c>
    </row>
    <row r="2" spans="1:9" x14ac:dyDescent="0.4">
      <c r="A2" t="s">
        <v>15</v>
      </c>
      <c r="B2" t="s">
        <v>0</v>
      </c>
      <c r="C2" t="s">
        <v>2</v>
      </c>
      <c r="D2" t="s">
        <v>3</v>
      </c>
      <c r="E2" t="s">
        <v>4</v>
      </c>
      <c r="F2" t="s">
        <v>64</v>
      </c>
      <c r="G2" t="s">
        <v>7</v>
      </c>
      <c r="H2" t="s">
        <v>62</v>
      </c>
      <c r="I2" s="1" t="s">
        <v>8</v>
      </c>
    </row>
    <row r="3" spans="1:9" x14ac:dyDescent="0.4">
      <c r="A3" t="s">
        <v>65</v>
      </c>
      <c r="B3">
        <v>100</v>
      </c>
      <c r="C3">
        <v>100</v>
      </c>
      <c r="D3">
        <v>6</v>
      </c>
      <c r="E3">
        <v>8</v>
      </c>
      <c r="F3">
        <v>8</v>
      </c>
      <c r="G3">
        <v>16.899999999999999</v>
      </c>
      <c r="H3">
        <v>122</v>
      </c>
      <c r="I3" s="1">
        <f>ROUNDUP(H3*1.1,0)</f>
        <v>135</v>
      </c>
    </row>
    <row r="4" spans="1:9" x14ac:dyDescent="0.4">
      <c r="A4" t="s">
        <v>66</v>
      </c>
      <c r="B4">
        <v>125</v>
      </c>
      <c r="C4">
        <v>125</v>
      </c>
      <c r="D4">
        <v>6.5</v>
      </c>
      <c r="E4">
        <v>9</v>
      </c>
      <c r="F4">
        <v>8</v>
      </c>
      <c r="G4">
        <v>23.6</v>
      </c>
      <c r="H4">
        <v>120</v>
      </c>
      <c r="I4" s="1">
        <f t="shared" ref="I4:I21" si="0">ROUNDUP(H4*1.1,0)</f>
        <v>132</v>
      </c>
    </row>
    <row r="5" spans="1:9" x14ac:dyDescent="0.4">
      <c r="A5" t="s">
        <v>67</v>
      </c>
      <c r="B5">
        <v>150</v>
      </c>
      <c r="C5">
        <v>150</v>
      </c>
      <c r="D5">
        <v>7</v>
      </c>
      <c r="E5">
        <v>10</v>
      </c>
      <c r="F5">
        <v>8</v>
      </c>
      <c r="G5">
        <v>31.1</v>
      </c>
      <c r="H5">
        <v>120</v>
      </c>
      <c r="I5" s="1">
        <f t="shared" si="0"/>
        <v>132</v>
      </c>
    </row>
    <row r="6" spans="1:9" x14ac:dyDescent="0.4">
      <c r="A6" t="s">
        <v>68</v>
      </c>
      <c r="B6">
        <v>175</v>
      </c>
      <c r="C6">
        <v>175</v>
      </c>
      <c r="D6">
        <v>7.5</v>
      </c>
      <c r="E6">
        <v>11</v>
      </c>
      <c r="F6">
        <v>13</v>
      </c>
      <c r="G6">
        <v>40.4</v>
      </c>
      <c r="H6">
        <v>120</v>
      </c>
      <c r="I6" s="1">
        <f t="shared" si="0"/>
        <v>132</v>
      </c>
    </row>
    <row r="7" spans="1:9" x14ac:dyDescent="0.4">
      <c r="A7" t="s">
        <v>69</v>
      </c>
      <c r="B7">
        <v>200</v>
      </c>
      <c r="C7">
        <v>200</v>
      </c>
      <c r="D7">
        <v>8</v>
      </c>
      <c r="E7">
        <v>12</v>
      </c>
      <c r="F7">
        <v>13</v>
      </c>
      <c r="G7">
        <v>49.9</v>
      </c>
      <c r="H7">
        <v>120</v>
      </c>
      <c r="I7" s="1">
        <f t="shared" si="0"/>
        <v>132</v>
      </c>
    </row>
    <row r="8" spans="1:9" x14ac:dyDescent="0.4">
      <c r="A8" t="s">
        <v>70</v>
      </c>
      <c r="B8">
        <v>250</v>
      </c>
      <c r="C8">
        <v>250</v>
      </c>
      <c r="D8">
        <v>9</v>
      </c>
      <c r="E8">
        <v>14</v>
      </c>
      <c r="F8">
        <v>13</v>
      </c>
      <c r="G8">
        <v>71.8</v>
      </c>
      <c r="H8">
        <v>120</v>
      </c>
      <c r="I8" s="1">
        <f t="shared" si="0"/>
        <v>132</v>
      </c>
    </row>
    <row r="9" spans="1:9" x14ac:dyDescent="0.4">
      <c r="A9" t="s">
        <v>71</v>
      </c>
      <c r="B9">
        <v>300</v>
      </c>
      <c r="C9">
        <v>300</v>
      </c>
      <c r="D9">
        <v>10</v>
      </c>
      <c r="E9">
        <v>15</v>
      </c>
      <c r="F9">
        <v>13</v>
      </c>
      <c r="G9">
        <v>93</v>
      </c>
      <c r="H9">
        <v>120</v>
      </c>
      <c r="I9" s="1">
        <f t="shared" si="0"/>
        <v>132</v>
      </c>
    </row>
    <row r="10" spans="1:9" x14ac:dyDescent="0.4">
      <c r="A10" t="s">
        <v>72</v>
      </c>
      <c r="B10">
        <v>350</v>
      </c>
      <c r="C10">
        <v>350</v>
      </c>
      <c r="D10">
        <v>12</v>
      </c>
      <c r="E10">
        <v>19</v>
      </c>
      <c r="F10">
        <v>13</v>
      </c>
      <c r="G10">
        <v>135</v>
      </c>
      <c r="H10">
        <v>127</v>
      </c>
      <c r="I10" s="1">
        <f t="shared" si="0"/>
        <v>140</v>
      </c>
    </row>
    <row r="11" spans="1:9" x14ac:dyDescent="0.4">
      <c r="A11" t="s">
        <v>73</v>
      </c>
      <c r="B11">
        <v>400</v>
      </c>
      <c r="C11">
        <v>400</v>
      </c>
      <c r="D11">
        <v>13</v>
      </c>
      <c r="E11">
        <v>21</v>
      </c>
      <c r="F11">
        <v>22</v>
      </c>
      <c r="G11">
        <v>172</v>
      </c>
      <c r="H11">
        <v>127</v>
      </c>
      <c r="I11" s="1">
        <f t="shared" si="0"/>
        <v>140</v>
      </c>
    </row>
    <row r="12" spans="1:9" x14ac:dyDescent="0.4">
      <c r="A12" t="s">
        <v>74</v>
      </c>
      <c r="B12">
        <v>148</v>
      </c>
      <c r="C12">
        <v>100</v>
      </c>
      <c r="D12">
        <v>6</v>
      </c>
      <c r="E12">
        <v>9</v>
      </c>
      <c r="F12">
        <v>8</v>
      </c>
      <c r="G12">
        <v>20.7</v>
      </c>
      <c r="H12">
        <v>120</v>
      </c>
      <c r="I12" s="1">
        <f t="shared" si="0"/>
        <v>132</v>
      </c>
    </row>
    <row r="13" spans="1:9" x14ac:dyDescent="0.4">
      <c r="A13" t="s">
        <v>75</v>
      </c>
      <c r="B13">
        <v>194</v>
      </c>
      <c r="C13">
        <v>150</v>
      </c>
      <c r="D13">
        <v>6</v>
      </c>
      <c r="E13">
        <v>9</v>
      </c>
      <c r="F13">
        <v>8</v>
      </c>
      <c r="G13">
        <v>29.9</v>
      </c>
      <c r="H13">
        <v>120</v>
      </c>
      <c r="I13" s="1">
        <f t="shared" si="0"/>
        <v>132</v>
      </c>
    </row>
    <row r="14" spans="1:9" x14ac:dyDescent="0.4">
      <c r="A14" t="s">
        <v>76</v>
      </c>
      <c r="B14">
        <v>244</v>
      </c>
      <c r="C14">
        <v>175</v>
      </c>
      <c r="D14">
        <v>7</v>
      </c>
      <c r="E14">
        <v>11</v>
      </c>
      <c r="F14">
        <v>13</v>
      </c>
      <c r="G14">
        <v>43.6</v>
      </c>
      <c r="H14">
        <v>120</v>
      </c>
      <c r="I14" s="1">
        <f t="shared" si="0"/>
        <v>132</v>
      </c>
    </row>
    <row r="15" spans="1:9" x14ac:dyDescent="0.4">
      <c r="A15" t="s">
        <v>77</v>
      </c>
      <c r="B15">
        <v>294</v>
      </c>
      <c r="C15">
        <v>200</v>
      </c>
      <c r="D15">
        <v>8</v>
      </c>
      <c r="E15">
        <v>12</v>
      </c>
      <c r="F15">
        <v>13</v>
      </c>
      <c r="G15">
        <v>55.8</v>
      </c>
      <c r="H15">
        <v>120</v>
      </c>
      <c r="I15" s="1">
        <f t="shared" si="0"/>
        <v>132</v>
      </c>
    </row>
    <row r="16" spans="1:9" x14ac:dyDescent="0.4">
      <c r="A16" t="s">
        <v>78</v>
      </c>
      <c r="B16">
        <v>100</v>
      </c>
      <c r="C16">
        <v>50</v>
      </c>
      <c r="D16">
        <v>5</v>
      </c>
      <c r="E16">
        <v>7</v>
      </c>
      <c r="F16">
        <v>8</v>
      </c>
      <c r="G16">
        <v>9.3000000000000007</v>
      </c>
      <c r="H16">
        <v>155</v>
      </c>
      <c r="I16" s="1">
        <f t="shared" si="0"/>
        <v>171</v>
      </c>
    </row>
    <row r="17" spans="1:9" x14ac:dyDescent="0.4">
      <c r="A17" t="s">
        <v>79</v>
      </c>
      <c r="B17">
        <v>125</v>
      </c>
      <c r="C17">
        <v>60</v>
      </c>
      <c r="D17">
        <v>6</v>
      </c>
      <c r="E17">
        <v>8</v>
      </c>
      <c r="F17">
        <v>9</v>
      </c>
      <c r="G17">
        <v>13.2</v>
      </c>
      <c r="H17">
        <v>150</v>
      </c>
      <c r="I17" s="1">
        <f t="shared" si="0"/>
        <v>165</v>
      </c>
    </row>
    <row r="18" spans="1:9" x14ac:dyDescent="0.4">
      <c r="A18" t="s">
        <v>80</v>
      </c>
      <c r="B18">
        <v>150</v>
      </c>
      <c r="C18">
        <v>75</v>
      </c>
      <c r="D18">
        <v>5</v>
      </c>
      <c r="E18">
        <v>7</v>
      </c>
      <c r="F18">
        <v>8</v>
      </c>
      <c r="G18">
        <v>14</v>
      </c>
      <c r="H18">
        <v>122</v>
      </c>
      <c r="I18" s="1">
        <f t="shared" si="0"/>
        <v>135</v>
      </c>
    </row>
    <row r="19" spans="1:9" x14ac:dyDescent="0.4">
      <c r="A19" t="s">
        <v>81</v>
      </c>
      <c r="B19">
        <v>200</v>
      </c>
      <c r="C19">
        <v>100</v>
      </c>
      <c r="D19">
        <v>5.5</v>
      </c>
      <c r="E19">
        <v>8</v>
      </c>
      <c r="F19">
        <v>8</v>
      </c>
      <c r="G19">
        <v>20.9</v>
      </c>
      <c r="H19">
        <v>120</v>
      </c>
      <c r="I19" s="1">
        <f t="shared" si="0"/>
        <v>132</v>
      </c>
    </row>
    <row r="20" spans="1:9" x14ac:dyDescent="0.4">
      <c r="A20" t="s">
        <v>82</v>
      </c>
      <c r="B20">
        <v>250</v>
      </c>
      <c r="C20">
        <v>125</v>
      </c>
      <c r="D20">
        <v>6</v>
      </c>
      <c r="E20">
        <v>9</v>
      </c>
      <c r="F20">
        <v>8</v>
      </c>
      <c r="G20">
        <v>29</v>
      </c>
      <c r="H20">
        <v>120</v>
      </c>
      <c r="I20" s="1">
        <f t="shared" si="0"/>
        <v>132</v>
      </c>
    </row>
    <row r="21" spans="1:9" x14ac:dyDescent="0.4">
      <c r="A21" t="s">
        <v>83</v>
      </c>
      <c r="B21">
        <v>300</v>
      </c>
      <c r="C21">
        <v>150</v>
      </c>
      <c r="D21">
        <v>6.5</v>
      </c>
      <c r="E21">
        <v>9</v>
      </c>
      <c r="F21">
        <v>13</v>
      </c>
      <c r="G21">
        <v>36.700000000000003</v>
      </c>
      <c r="H21">
        <v>120</v>
      </c>
      <c r="I21" s="1">
        <f t="shared" si="0"/>
        <v>132</v>
      </c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F3013-DA89-4B2D-8DD4-49707615A3EE}">
  <dimension ref="A1:E8"/>
  <sheetViews>
    <sheetView zoomScale="85" zoomScaleNormal="85" workbookViewId="0">
      <selection activeCell="K18" sqref="K18"/>
    </sheetView>
  </sheetViews>
  <sheetFormatPr defaultRowHeight="18.75" x14ac:dyDescent="0.4"/>
  <cols>
    <col min="1" max="1" width="13.75" customWidth="1"/>
    <col min="4" max="4" width="9" style="1"/>
  </cols>
  <sheetData>
    <row r="1" spans="1:5" x14ac:dyDescent="0.4">
      <c r="A1" t="s">
        <v>184</v>
      </c>
    </row>
    <row r="2" spans="1:5" x14ac:dyDescent="0.4">
      <c r="A2" t="s">
        <v>15</v>
      </c>
      <c r="B2" t="s">
        <v>7</v>
      </c>
      <c r="C2" t="s">
        <v>62</v>
      </c>
      <c r="D2" s="1" t="s">
        <v>8</v>
      </c>
      <c r="E2" t="s">
        <v>10</v>
      </c>
    </row>
    <row r="3" spans="1:5" x14ac:dyDescent="0.4">
      <c r="A3" t="s">
        <v>178</v>
      </c>
      <c r="B3">
        <v>13.7</v>
      </c>
      <c r="C3">
        <v>250</v>
      </c>
      <c r="D3" s="1">
        <f>ROUNDUP(C3*1.1,0)</f>
        <v>275</v>
      </c>
    </row>
    <row r="4" spans="1:5" x14ac:dyDescent="0.4">
      <c r="A4" t="s">
        <v>179</v>
      </c>
      <c r="B4">
        <v>18.3</v>
      </c>
      <c r="C4">
        <v>250</v>
      </c>
      <c r="D4" s="1">
        <f t="shared" ref="D4:D9" si="0">ROUNDUP(C4*1.1,0)</f>
        <v>275</v>
      </c>
    </row>
    <row r="5" spans="1:5" x14ac:dyDescent="0.4">
      <c r="A5" t="s">
        <v>180</v>
      </c>
      <c r="B5">
        <v>4.1900000000000004</v>
      </c>
      <c r="C5">
        <v>305</v>
      </c>
      <c r="D5" s="1">
        <f t="shared" si="0"/>
        <v>336</v>
      </c>
    </row>
    <row r="6" spans="1:5" x14ac:dyDescent="0.4">
      <c r="A6" t="s">
        <v>181</v>
      </c>
      <c r="B6">
        <v>9.0299999999999994</v>
      </c>
      <c r="C6">
        <v>290</v>
      </c>
      <c r="D6" s="1">
        <f t="shared" si="0"/>
        <v>319</v>
      </c>
    </row>
    <row r="7" spans="1:5" x14ac:dyDescent="0.4">
      <c r="A7" t="s">
        <v>182</v>
      </c>
      <c r="B7">
        <v>8</v>
      </c>
      <c r="C7">
        <v>265</v>
      </c>
      <c r="D7" s="1">
        <f t="shared" si="0"/>
        <v>292</v>
      </c>
    </row>
    <row r="8" spans="1:5" x14ac:dyDescent="0.4">
      <c r="A8" t="s">
        <v>183</v>
      </c>
      <c r="B8">
        <v>10.4</v>
      </c>
      <c r="C8">
        <v>265</v>
      </c>
      <c r="D8" s="1">
        <f t="shared" si="0"/>
        <v>292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34584-63B4-45C3-AD1A-9797FB9765DD}">
  <dimension ref="A1:F6"/>
  <sheetViews>
    <sheetView tabSelected="1" zoomScale="85" zoomScaleNormal="85" workbookViewId="0">
      <selection sqref="A1:F6"/>
    </sheetView>
  </sheetViews>
  <sheetFormatPr defaultRowHeight="18.75" x14ac:dyDescent="0.4"/>
  <cols>
    <col min="1" max="2" width="13.75" customWidth="1"/>
    <col min="5" max="5" width="9" style="1"/>
  </cols>
  <sheetData>
    <row r="1" spans="1:6" x14ac:dyDescent="0.4">
      <c r="A1" t="s">
        <v>185</v>
      </c>
    </row>
    <row r="2" spans="1:6" x14ac:dyDescent="0.4">
      <c r="A2" t="s">
        <v>15</v>
      </c>
      <c r="B2" t="s">
        <v>60</v>
      </c>
      <c r="C2" t="s">
        <v>7</v>
      </c>
      <c r="D2" t="s">
        <v>62</v>
      </c>
      <c r="E2" s="1" t="s">
        <v>8</v>
      </c>
      <c r="F2" t="s">
        <v>10</v>
      </c>
    </row>
    <row r="3" spans="1:6" x14ac:dyDescent="0.4">
      <c r="A3" t="s">
        <v>186</v>
      </c>
      <c r="B3">
        <v>2.2999999999999998</v>
      </c>
      <c r="C3">
        <v>19.73</v>
      </c>
      <c r="D3">
        <v>147</v>
      </c>
      <c r="E3" s="1">
        <f>ROUNDUP(D3*1.1,0)</f>
        <v>162</v>
      </c>
    </row>
    <row r="4" spans="1:6" x14ac:dyDescent="0.4">
      <c r="A4" t="s">
        <v>187</v>
      </c>
      <c r="B4">
        <v>3.2</v>
      </c>
      <c r="C4">
        <v>26.79</v>
      </c>
      <c r="D4">
        <v>137</v>
      </c>
      <c r="E4" s="1">
        <f t="shared" ref="E4:E6" si="0">ROUNDUP(D4*1.1,0)</f>
        <v>151</v>
      </c>
    </row>
    <row r="5" spans="1:6" x14ac:dyDescent="0.4">
      <c r="A5" t="s">
        <v>188</v>
      </c>
      <c r="B5">
        <v>4.5</v>
      </c>
      <c r="C5">
        <v>36.99</v>
      </c>
      <c r="D5">
        <v>137</v>
      </c>
      <c r="E5" s="1">
        <f t="shared" si="0"/>
        <v>151</v>
      </c>
    </row>
    <row r="6" spans="1:6" x14ac:dyDescent="0.4">
      <c r="A6" t="s">
        <v>189</v>
      </c>
      <c r="B6">
        <v>6</v>
      </c>
      <c r="C6">
        <v>48.77</v>
      </c>
      <c r="D6">
        <v>147</v>
      </c>
      <c r="E6" s="1">
        <f t="shared" si="0"/>
        <v>162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チャンネル</vt:lpstr>
      <vt:lpstr>アングル</vt:lpstr>
      <vt:lpstr>丸鋼</vt:lpstr>
      <vt:lpstr>ガス管</vt:lpstr>
      <vt:lpstr>角パイプ</vt:lpstr>
      <vt:lpstr>FB</vt:lpstr>
      <vt:lpstr>H鋼</vt:lpstr>
      <vt:lpstr>エキスパンド</vt:lpstr>
      <vt:lpstr>縞板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2026-01-07T01:23:48Z</dcterms:created>
  <dcterms:modified xsi:type="dcterms:W3CDTF">2026-01-13T04:52:45Z</dcterms:modified>
</cp:coreProperties>
</file>