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4468aa6da851130/Desktop/3dcad-site/public/"/>
    </mc:Choice>
  </mc:AlternateContent>
  <xr:revisionPtr revIDLastSave="125" documentId="8_{04C9C02A-217B-4CAA-8A5F-0EB5E9890B95}" xr6:coauthVersionLast="47" xr6:coauthVersionMax="47" xr10:uidLastSave="{6160AAFD-A827-42E1-87F6-1E81F6B6D4A7}"/>
  <bookViews>
    <workbookView xWindow="780" yWindow="780" windowWidth="14085" windowHeight="14520" xr2:uid="{B2BECC2C-7C38-4F7D-AD9C-96C93F1F48F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53" i="1" l="1"/>
  <c r="J51" i="1"/>
  <c r="J52" i="1"/>
  <c r="J50" i="1"/>
  <c r="J49" i="1"/>
  <c r="J48" i="1"/>
  <c r="J47" i="1"/>
  <c r="J46" i="1"/>
  <c r="J45" i="1"/>
  <c r="J44" i="1"/>
  <c r="J40" i="1"/>
  <c r="J39" i="1"/>
  <c r="J38" i="1"/>
  <c r="J37" i="1"/>
  <c r="J36" i="1"/>
  <c r="J35" i="1"/>
  <c r="J34" i="1"/>
  <c r="J26" i="1" l="1"/>
  <c r="J27" i="1"/>
  <c r="J28" i="1"/>
  <c r="J29" i="1"/>
  <c r="J30" i="1"/>
  <c r="J25" i="1"/>
  <c r="J24" i="1"/>
  <c r="J23" i="1"/>
  <c r="J22" i="1"/>
  <c r="J21" i="1"/>
  <c r="J20" i="1"/>
  <c r="J19" i="1"/>
  <c r="J18" i="1"/>
  <c r="J17" i="1"/>
  <c r="J16" i="1"/>
  <c r="J4" i="1" l="1"/>
  <c r="J5" i="1"/>
  <c r="J6" i="1"/>
  <c r="J7" i="1"/>
  <c r="J8" i="1"/>
  <c r="J9" i="1"/>
  <c r="J10" i="1"/>
  <c r="J11" i="1"/>
  <c r="J12" i="1"/>
  <c r="J3" i="1"/>
</calcChain>
</file>

<file path=xl/sharedStrings.xml><?xml version="1.0" encoding="utf-8"?>
<sst xmlns="http://schemas.openxmlformats.org/spreadsheetml/2006/main" count="80" uniqueCount="63">
  <si>
    <t>H</t>
    <phoneticPr fontId="2"/>
  </si>
  <si>
    <t>チャンネル</t>
    <phoneticPr fontId="2"/>
  </si>
  <si>
    <t>B</t>
    <phoneticPr fontId="2"/>
  </si>
  <si>
    <t>t1</t>
    <phoneticPr fontId="2"/>
  </si>
  <si>
    <t>t2</t>
    <phoneticPr fontId="2"/>
  </si>
  <si>
    <t>r1</t>
    <phoneticPr fontId="2"/>
  </si>
  <si>
    <t>r2</t>
    <phoneticPr fontId="2"/>
  </si>
  <si>
    <t>単位質量</t>
    <rPh sb="0" eb="4">
      <t>タンイシツリョウ</t>
    </rPh>
    <phoneticPr fontId="2"/>
  </si>
  <si>
    <t>単価</t>
    <rPh sb="0" eb="2">
      <t>タンカ</t>
    </rPh>
    <phoneticPr fontId="2"/>
  </si>
  <si>
    <t>原価</t>
    <rPh sb="0" eb="2">
      <t>ゲンカ</t>
    </rPh>
    <phoneticPr fontId="2"/>
  </si>
  <si>
    <t>切断費</t>
    <rPh sb="0" eb="3">
      <t>セツダンヒ</t>
    </rPh>
    <phoneticPr fontId="2"/>
  </si>
  <si>
    <t>L型アングル</t>
    <rPh sb="1" eb="2">
      <t>ガタ</t>
    </rPh>
    <phoneticPr fontId="2"/>
  </si>
  <si>
    <t>A</t>
    <phoneticPr fontId="2"/>
  </si>
  <si>
    <t>t</t>
    <phoneticPr fontId="2"/>
  </si>
  <si>
    <t>丸鋼</t>
    <rPh sb="0" eb="1">
      <t>マル</t>
    </rPh>
    <rPh sb="1" eb="2">
      <t>コウ</t>
    </rPh>
    <phoneticPr fontId="2"/>
  </si>
  <si>
    <t>呼び名</t>
    <rPh sb="0" eb="1">
      <t>ヨ</t>
    </rPh>
    <rPh sb="2" eb="3">
      <t>ナ</t>
    </rPh>
    <phoneticPr fontId="2"/>
  </si>
  <si>
    <t>U75</t>
    <phoneticPr fontId="2"/>
  </si>
  <si>
    <t>U100x50</t>
    <phoneticPr fontId="2"/>
  </si>
  <si>
    <t>U125x65</t>
    <phoneticPr fontId="2"/>
  </si>
  <si>
    <t>U150x75x6.5</t>
    <phoneticPr fontId="2"/>
  </si>
  <si>
    <t>U150x75x9</t>
    <phoneticPr fontId="2"/>
  </si>
  <si>
    <t>U180x75x7</t>
    <phoneticPr fontId="2"/>
  </si>
  <si>
    <t>U200x80x7.5</t>
    <phoneticPr fontId="2"/>
  </si>
  <si>
    <t>U200x90x8</t>
    <phoneticPr fontId="2"/>
  </si>
  <si>
    <t>U250x90x9</t>
    <phoneticPr fontId="2"/>
  </si>
  <si>
    <t>U300x90x9</t>
    <phoneticPr fontId="2"/>
  </si>
  <si>
    <t>L20x3</t>
    <phoneticPr fontId="2"/>
  </si>
  <si>
    <t>L25x3</t>
    <phoneticPr fontId="2"/>
  </si>
  <si>
    <t>L30x3</t>
    <phoneticPr fontId="2"/>
  </si>
  <si>
    <t>L40x3</t>
    <phoneticPr fontId="2"/>
  </si>
  <si>
    <t>L50x4</t>
    <phoneticPr fontId="2"/>
  </si>
  <si>
    <t>L30x5</t>
    <phoneticPr fontId="2"/>
  </si>
  <si>
    <t>L40x5</t>
    <phoneticPr fontId="2"/>
  </si>
  <si>
    <t>L50x6</t>
    <phoneticPr fontId="2"/>
  </si>
  <si>
    <t>L65x6</t>
    <phoneticPr fontId="2"/>
  </si>
  <si>
    <t>L75x6</t>
    <phoneticPr fontId="2"/>
  </si>
  <si>
    <t>L90x7</t>
    <phoneticPr fontId="2"/>
  </si>
  <si>
    <t>L100x7</t>
    <phoneticPr fontId="2"/>
  </si>
  <si>
    <t>L65x8</t>
    <phoneticPr fontId="2"/>
  </si>
  <si>
    <t>L75x9</t>
    <phoneticPr fontId="2"/>
  </si>
  <si>
    <t>L100x10</t>
    <phoneticPr fontId="2"/>
  </si>
  <si>
    <t>RBφ6</t>
    <phoneticPr fontId="2"/>
  </si>
  <si>
    <t>RBφ9</t>
    <phoneticPr fontId="2"/>
  </si>
  <si>
    <t>RBφ13</t>
    <phoneticPr fontId="2"/>
  </si>
  <si>
    <t>RBφ16</t>
    <phoneticPr fontId="2"/>
  </si>
  <si>
    <t>RBφ22</t>
    <phoneticPr fontId="2"/>
  </si>
  <si>
    <t>RBφ25</t>
    <phoneticPr fontId="2"/>
  </si>
  <si>
    <t>ガス管</t>
    <rPh sb="2" eb="3">
      <t>カン</t>
    </rPh>
    <phoneticPr fontId="2"/>
  </si>
  <si>
    <t>直径</t>
    <rPh sb="0" eb="2">
      <t>チョッケイ</t>
    </rPh>
    <phoneticPr fontId="2"/>
  </si>
  <si>
    <t>RBφ19</t>
    <phoneticPr fontId="2"/>
  </si>
  <si>
    <t>GPA15A</t>
    <phoneticPr fontId="2"/>
  </si>
  <si>
    <t>GPA20A</t>
    <phoneticPr fontId="2"/>
  </si>
  <si>
    <t>GPA25A</t>
    <phoneticPr fontId="2"/>
  </si>
  <si>
    <t>GPA32A</t>
    <phoneticPr fontId="2"/>
  </si>
  <si>
    <t>GPA40A</t>
    <phoneticPr fontId="2"/>
  </si>
  <si>
    <t>GPA65A</t>
    <phoneticPr fontId="2"/>
  </si>
  <si>
    <t>GPA100A</t>
  </si>
  <si>
    <t>GPA125A</t>
    <phoneticPr fontId="2"/>
  </si>
  <si>
    <t>GPA150A</t>
  </si>
  <si>
    <t>外径</t>
    <rPh sb="0" eb="2">
      <t>ガイケイ</t>
    </rPh>
    <phoneticPr fontId="2"/>
  </si>
  <si>
    <t>板厚</t>
    <rPh sb="0" eb="2">
      <t>イタアツ</t>
    </rPh>
    <phoneticPr fontId="2"/>
  </si>
  <si>
    <t>GPA200A</t>
    <phoneticPr fontId="2"/>
  </si>
  <si>
    <t>原価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</si>
</sst>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</cellStyleXfs>
  <cellXfs count="2">
    <xf numFmtId="0" fontId="0" fillId="0" borderId="0" xfId="0">
      <alignment vertical="center"/>
    </xf>
    <xf numFmtId="38" fontId="0" fillId="0" borderId="0" xfId="1" applyFont="1">
      <alignment vertical="center"/>
    </xf>
  </cellXfs>
  <cellStyles count="2"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156882</xdr:colOff>
      <xdr:row>2</xdr:row>
      <xdr:rowOff>40901</xdr:rowOff>
    </xdr:from>
    <xdr:to>
      <xdr:col>12</xdr:col>
      <xdr:colOff>630457</xdr:colOff>
      <xdr:row>9</xdr:row>
      <xdr:rowOff>22354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AEC76613-82A4-F688-0F80-31BA6445B5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169088" y="511548"/>
          <a:ext cx="1157134" cy="1628718"/>
        </a:xfrm>
        <a:prstGeom prst="rect">
          <a:avLst/>
        </a:prstGeom>
      </xdr:spPr>
    </xdr:pic>
    <xdr:clientData/>
  </xdr:twoCellAnchor>
  <xdr:twoCellAnchor editAs="oneCell">
    <xdr:from>
      <xdr:col>11</xdr:col>
      <xdr:colOff>280147</xdr:colOff>
      <xdr:row>14</xdr:row>
      <xdr:rowOff>201019</xdr:rowOff>
    </xdr:from>
    <xdr:to>
      <xdr:col>13</xdr:col>
      <xdr:colOff>630656</xdr:colOff>
      <xdr:row>22</xdr:row>
      <xdr:rowOff>190293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ED7DB34E-C62A-8F64-68D6-B3B467F194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239000" y="3495548"/>
          <a:ext cx="1717627" cy="1871863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EC3862-DB88-4767-BB7D-C9F1E6DB24EC}">
  <dimension ref="A1:K53"/>
  <sheetViews>
    <sheetView tabSelected="1" zoomScale="85" zoomScaleNormal="85" workbookViewId="0">
      <selection activeCell="L14" sqref="L14"/>
    </sheetView>
  </sheetViews>
  <sheetFormatPr defaultRowHeight="18.75" x14ac:dyDescent="0.4"/>
  <cols>
    <col min="1" max="1" width="13.75" customWidth="1"/>
    <col min="2" max="2" width="10.625" customWidth="1"/>
    <col min="10" max="10" width="9" style="1"/>
  </cols>
  <sheetData>
    <row r="1" spans="1:11" x14ac:dyDescent="0.4">
      <c r="A1" t="s">
        <v>1</v>
      </c>
    </row>
    <row r="2" spans="1:11" x14ac:dyDescent="0.4">
      <c r="A2" t="s">
        <v>15</v>
      </c>
      <c r="B2" t="s">
        <v>0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9</v>
      </c>
      <c r="J2" s="1" t="s">
        <v>8</v>
      </c>
      <c r="K2" t="s">
        <v>10</v>
      </c>
    </row>
    <row r="3" spans="1:11" x14ac:dyDescent="0.4">
      <c r="A3" t="s">
        <v>16</v>
      </c>
      <c r="B3">
        <v>75</v>
      </c>
      <c r="C3">
        <v>40</v>
      </c>
      <c r="D3">
        <v>5</v>
      </c>
      <c r="E3">
        <v>7</v>
      </c>
      <c r="F3">
        <v>8</v>
      </c>
      <c r="G3">
        <v>4</v>
      </c>
      <c r="H3">
        <v>6.92</v>
      </c>
      <c r="I3">
        <v>132</v>
      </c>
      <c r="J3" s="1">
        <f>ROUNDUP(I3*1.1,0)</f>
        <v>146</v>
      </c>
    </row>
    <row r="4" spans="1:11" x14ac:dyDescent="0.4">
      <c r="A4" t="s">
        <v>17</v>
      </c>
      <c r="B4">
        <v>100</v>
      </c>
      <c r="C4">
        <v>50</v>
      </c>
      <c r="D4">
        <v>5</v>
      </c>
      <c r="E4">
        <v>7.5</v>
      </c>
      <c r="F4">
        <v>8</v>
      </c>
      <c r="G4">
        <v>4</v>
      </c>
      <c r="H4">
        <v>9.36</v>
      </c>
      <c r="I4">
        <v>128</v>
      </c>
      <c r="J4" s="1">
        <f t="shared" ref="J4:J12" si="0">ROUNDUP(I4*1.1,0)</f>
        <v>141</v>
      </c>
    </row>
    <row r="5" spans="1:11" x14ac:dyDescent="0.4">
      <c r="A5" t="s">
        <v>18</v>
      </c>
      <c r="B5">
        <v>125</v>
      </c>
      <c r="C5">
        <v>65</v>
      </c>
      <c r="D5">
        <v>6</v>
      </c>
      <c r="E5">
        <v>8</v>
      </c>
      <c r="F5">
        <v>8</v>
      </c>
      <c r="G5">
        <v>4</v>
      </c>
      <c r="H5">
        <v>13.4</v>
      </c>
      <c r="I5">
        <v>128</v>
      </c>
      <c r="J5" s="1">
        <f t="shared" si="0"/>
        <v>141</v>
      </c>
    </row>
    <row r="6" spans="1:11" x14ac:dyDescent="0.4">
      <c r="A6" t="s">
        <v>19</v>
      </c>
      <c r="B6">
        <v>150</v>
      </c>
      <c r="C6">
        <v>75</v>
      </c>
      <c r="D6">
        <v>6.5</v>
      </c>
      <c r="E6">
        <v>10</v>
      </c>
      <c r="F6">
        <v>8</v>
      </c>
      <c r="G6">
        <v>5</v>
      </c>
      <c r="H6">
        <v>18.600000000000001</v>
      </c>
      <c r="I6">
        <v>128</v>
      </c>
      <c r="J6" s="1">
        <f t="shared" si="0"/>
        <v>141</v>
      </c>
    </row>
    <row r="7" spans="1:11" x14ac:dyDescent="0.4">
      <c r="A7" t="s">
        <v>20</v>
      </c>
      <c r="B7">
        <v>150</v>
      </c>
      <c r="C7">
        <v>75</v>
      </c>
      <c r="D7">
        <v>9</v>
      </c>
      <c r="E7">
        <v>12.5</v>
      </c>
      <c r="F7">
        <v>10</v>
      </c>
      <c r="G7">
        <v>7.5</v>
      </c>
      <c r="H7">
        <v>24</v>
      </c>
      <c r="I7">
        <v>133</v>
      </c>
      <c r="J7" s="1">
        <f t="shared" si="0"/>
        <v>147</v>
      </c>
    </row>
    <row r="8" spans="1:11" x14ac:dyDescent="0.4">
      <c r="A8" t="s">
        <v>21</v>
      </c>
      <c r="B8">
        <v>180</v>
      </c>
      <c r="C8">
        <v>75</v>
      </c>
      <c r="D8">
        <v>7</v>
      </c>
      <c r="E8">
        <v>10.5</v>
      </c>
      <c r="F8">
        <v>15</v>
      </c>
      <c r="G8">
        <v>5.5</v>
      </c>
      <c r="H8">
        <v>21.4</v>
      </c>
      <c r="I8">
        <v>133</v>
      </c>
      <c r="J8" s="1">
        <f t="shared" si="0"/>
        <v>147</v>
      </c>
    </row>
    <row r="9" spans="1:11" x14ac:dyDescent="0.4">
      <c r="A9" t="s">
        <v>22</v>
      </c>
      <c r="B9">
        <v>200</v>
      </c>
      <c r="C9">
        <v>80</v>
      </c>
      <c r="D9">
        <v>7.5</v>
      </c>
      <c r="E9">
        <v>11</v>
      </c>
      <c r="F9">
        <v>11</v>
      </c>
      <c r="G9">
        <v>6</v>
      </c>
      <c r="H9">
        <v>24.6</v>
      </c>
      <c r="I9">
        <v>133</v>
      </c>
      <c r="J9" s="1">
        <f t="shared" si="0"/>
        <v>147</v>
      </c>
    </row>
    <row r="10" spans="1:11" x14ac:dyDescent="0.4">
      <c r="A10" t="s">
        <v>23</v>
      </c>
      <c r="B10">
        <v>200</v>
      </c>
      <c r="C10">
        <v>90</v>
      </c>
      <c r="D10">
        <v>8</v>
      </c>
      <c r="E10">
        <v>13.5</v>
      </c>
      <c r="F10">
        <v>12</v>
      </c>
      <c r="G10">
        <v>7</v>
      </c>
      <c r="H10">
        <v>30.3</v>
      </c>
      <c r="I10">
        <v>133</v>
      </c>
      <c r="J10" s="1">
        <f t="shared" si="0"/>
        <v>147</v>
      </c>
    </row>
    <row r="11" spans="1:11" x14ac:dyDescent="0.4">
      <c r="A11" t="s">
        <v>24</v>
      </c>
      <c r="B11">
        <v>250</v>
      </c>
      <c r="C11">
        <v>90</v>
      </c>
      <c r="D11">
        <v>9</v>
      </c>
      <c r="E11">
        <v>13</v>
      </c>
      <c r="F11">
        <v>14</v>
      </c>
      <c r="G11">
        <v>7</v>
      </c>
      <c r="H11">
        <v>34.6</v>
      </c>
      <c r="I11">
        <v>133</v>
      </c>
      <c r="J11" s="1">
        <f t="shared" si="0"/>
        <v>147</v>
      </c>
    </row>
    <row r="12" spans="1:11" x14ac:dyDescent="0.4">
      <c r="A12" t="s">
        <v>25</v>
      </c>
      <c r="B12">
        <v>300</v>
      </c>
      <c r="C12">
        <v>90</v>
      </c>
      <c r="D12">
        <v>9</v>
      </c>
      <c r="E12">
        <v>13</v>
      </c>
      <c r="F12">
        <v>14</v>
      </c>
      <c r="G12">
        <v>7</v>
      </c>
      <c r="H12">
        <v>38.1</v>
      </c>
      <c r="I12">
        <v>133</v>
      </c>
      <c r="J12" s="1">
        <f t="shared" si="0"/>
        <v>147</v>
      </c>
    </row>
    <row r="14" spans="1:11" x14ac:dyDescent="0.4">
      <c r="A14" t="s">
        <v>11</v>
      </c>
    </row>
    <row r="15" spans="1:11" x14ac:dyDescent="0.4">
      <c r="A15" t="s">
        <v>15</v>
      </c>
      <c r="B15" t="s">
        <v>12</v>
      </c>
      <c r="C15" t="s">
        <v>2</v>
      </c>
      <c r="D15" t="s">
        <v>13</v>
      </c>
      <c r="E15" t="s">
        <v>5</v>
      </c>
      <c r="F15" t="s">
        <v>6</v>
      </c>
      <c r="H15" t="s">
        <v>7</v>
      </c>
      <c r="I15" t="s">
        <v>9</v>
      </c>
      <c r="J15" s="1" t="s">
        <v>8</v>
      </c>
      <c r="K15" t="s">
        <v>10</v>
      </c>
    </row>
    <row r="16" spans="1:11" x14ac:dyDescent="0.4">
      <c r="A16" t="s">
        <v>26</v>
      </c>
      <c r="B16">
        <v>20</v>
      </c>
      <c r="C16">
        <v>20</v>
      </c>
      <c r="D16">
        <v>3</v>
      </c>
      <c r="E16">
        <v>4</v>
      </c>
      <c r="F16">
        <v>2</v>
      </c>
      <c r="H16">
        <v>0.88500000000000001</v>
      </c>
      <c r="I16">
        <v>190</v>
      </c>
      <c r="J16" s="1">
        <f>ROUNDUP(I16*1.1,0)</f>
        <v>209</v>
      </c>
    </row>
    <row r="17" spans="1:10" x14ac:dyDescent="0.4">
      <c r="A17" t="s">
        <v>27</v>
      </c>
      <c r="B17">
        <v>25</v>
      </c>
      <c r="C17">
        <v>25</v>
      </c>
      <c r="D17">
        <v>3</v>
      </c>
      <c r="E17">
        <v>4</v>
      </c>
      <c r="F17">
        <v>2</v>
      </c>
      <c r="H17">
        <v>1.1200000000000001</v>
      </c>
      <c r="I17">
        <v>155</v>
      </c>
      <c r="J17" s="1">
        <f t="shared" ref="J17:J30" si="1">ROUNDUP(I17*1.1,0)</f>
        <v>171</v>
      </c>
    </row>
    <row r="18" spans="1:10" x14ac:dyDescent="0.4">
      <c r="A18" t="s">
        <v>28</v>
      </c>
      <c r="B18">
        <v>30</v>
      </c>
      <c r="C18">
        <v>30</v>
      </c>
      <c r="D18">
        <v>3</v>
      </c>
      <c r="E18">
        <v>4</v>
      </c>
      <c r="F18">
        <v>2</v>
      </c>
      <c r="H18">
        <v>1.36</v>
      </c>
      <c r="I18">
        <v>145</v>
      </c>
      <c r="J18" s="1">
        <f t="shared" si="1"/>
        <v>160</v>
      </c>
    </row>
    <row r="19" spans="1:10" x14ac:dyDescent="0.4">
      <c r="A19" t="s">
        <v>29</v>
      </c>
      <c r="B19">
        <v>40</v>
      </c>
      <c r="C19">
        <v>40</v>
      </c>
      <c r="D19">
        <v>3</v>
      </c>
      <c r="E19">
        <v>4.5</v>
      </c>
      <c r="F19">
        <v>2</v>
      </c>
      <c r="H19">
        <v>1.83</v>
      </c>
      <c r="I19">
        <v>132</v>
      </c>
      <c r="J19" s="1">
        <f t="shared" si="1"/>
        <v>146</v>
      </c>
    </row>
    <row r="20" spans="1:10" x14ac:dyDescent="0.4">
      <c r="A20" t="s">
        <v>30</v>
      </c>
      <c r="B20">
        <v>50</v>
      </c>
      <c r="C20">
        <v>50</v>
      </c>
      <c r="D20">
        <v>4</v>
      </c>
      <c r="E20">
        <v>6.5</v>
      </c>
      <c r="F20">
        <v>3</v>
      </c>
      <c r="H20">
        <v>3.06</v>
      </c>
      <c r="I20">
        <v>160</v>
      </c>
      <c r="J20" s="1">
        <f t="shared" si="1"/>
        <v>176</v>
      </c>
    </row>
    <row r="21" spans="1:10" x14ac:dyDescent="0.4">
      <c r="A21" t="s">
        <v>31</v>
      </c>
      <c r="B21">
        <v>30</v>
      </c>
      <c r="C21">
        <v>30</v>
      </c>
      <c r="D21">
        <v>5</v>
      </c>
      <c r="E21">
        <v>4</v>
      </c>
      <c r="F21">
        <v>3</v>
      </c>
      <c r="H21">
        <v>2.16</v>
      </c>
      <c r="I21">
        <v>145</v>
      </c>
      <c r="J21" s="1">
        <f t="shared" si="1"/>
        <v>160</v>
      </c>
    </row>
    <row r="22" spans="1:10" x14ac:dyDescent="0.4">
      <c r="A22" t="s">
        <v>32</v>
      </c>
      <c r="B22">
        <v>40</v>
      </c>
      <c r="C22">
        <v>40</v>
      </c>
      <c r="D22">
        <v>5</v>
      </c>
      <c r="E22">
        <v>4.5</v>
      </c>
      <c r="F22">
        <v>3</v>
      </c>
      <c r="H22">
        <v>3.7549999999999999</v>
      </c>
      <c r="I22">
        <v>128</v>
      </c>
      <c r="J22" s="1">
        <f t="shared" si="1"/>
        <v>141</v>
      </c>
    </row>
    <row r="23" spans="1:10" x14ac:dyDescent="0.4">
      <c r="A23" t="s">
        <v>33</v>
      </c>
      <c r="B23">
        <v>50</v>
      </c>
      <c r="C23">
        <v>50</v>
      </c>
      <c r="D23">
        <v>6</v>
      </c>
      <c r="E23">
        <v>6.5</v>
      </c>
      <c r="F23">
        <v>4.5</v>
      </c>
      <c r="H23">
        <v>4.43</v>
      </c>
      <c r="I23">
        <v>128</v>
      </c>
      <c r="J23" s="1">
        <f t="shared" si="1"/>
        <v>141</v>
      </c>
    </row>
    <row r="24" spans="1:10" x14ac:dyDescent="0.4">
      <c r="A24" t="s">
        <v>34</v>
      </c>
      <c r="B24">
        <v>65</v>
      </c>
      <c r="C24">
        <v>65</v>
      </c>
      <c r="D24">
        <v>6</v>
      </c>
      <c r="E24">
        <v>8.5</v>
      </c>
      <c r="F24">
        <v>4</v>
      </c>
      <c r="H24">
        <v>5.91</v>
      </c>
      <c r="I24">
        <v>128</v>
      </c>
      <c r="J24" s="1">
        <f t="shared" si="1"/>
        <v>141</v>
      </c>
    </row>
    <row r="25" spans="1:10" x14ac:dyDescent="0.4">
      <c r="A25" t="s">
        <v>35</v>
      </c>
      <c r="B25">
        <v>75</v>
      </c>
      <c r="C25">
        <v>75</v>
      </c>
      <c r="D25">
        <v>6</v>
      </c>
      <c r="E25">
        <v>8.5</v>
      </c>
      <c r="F25">
        <v>4</v>
      </c>
      <c r="H25">
        <v>6.85</v>
      </c>
      <c r="I25">
        <v>140</v>
      </c>
      <c r="J25" s="1">
        <f t="shared" si="1"/>
        <v>154</v>
      </c>
    </row>
    <row r="26" spans="1:10" x14ac:dyDescent="0.4">
      <c r="A26" t="s">
        <v>36</v>
      </c>
      <c r="B26">
        <v>90</v>
      </c>
      <c r="C26">
        <v>90</v>
      </c>
      <c r="D26">
        <v>7</v>
      </c>
      <c r="E26">
        <v>10</v>
      </c>
      <c r="F26">
        <v>5</v>
      </c>
      <c r="H26">
        <v>9.59</v>
      </c>
      <c r="I26">
        <v>140</v>
      </c>
      <c r="J26" s="1">
        <f>ROUNDUP(I26*1.1,0)</f>
        <v>154</v>
      </c>
    </row>
    <row r="27" spans="1:10" x14ac:dyDescent="0.4">
      <c r="A27" t="s">
        <v>37</v>
      </c>
      <c r="B27">
        <v>100</v>
      </c>
      <c r="C27">
        <v>100</v>
      </c>
      <c r="D27">
        <v>7</v>
      </c>
      <c r="E27">
        <v>10</v>
      </c>
      <c r="F27">
        <v>5</v>
      </c>
      <c r="H27">
        <v>10.7</v>
      </c>
      <c r="I27">
        <v>140</v>
      </c>
      <c r="J27" s="1">
        <f t="shared" si="1"/>
        <v>154</v>
      </c>
    </row>
    <row r="28" spans="1:10" x14ac:dyDescent="0.4">
      <c r="A28" t="s">
        <v>38</v>
      </c>
      <c r="B28">
        <v>65</v>
      </c>
      <c r="C28">
        <v>65</v>
      </c>
      <c r="D28">
        <v>8</v>
      </c>
      <c r="E28">
        <v>8.5</v>
      </c>
      <c r="F28">
        <v>6</v>
      </c>
      <c r="H28">
        <v>7.66</v>
      </c>
      <c r="I28">
        <v>140</v>
      </c>
      <c r="J28" s="1">
        <f t="shared" si="1"/>
        <v>154</v>
      </c>
    </row>
    <row r="29" spans="1:10" x14ac:dyDescent="0.4">
      <c r="A29" t="s">
        <v>39</v>
      </c>
      <c r="B29">
        <v>75</v>
      </c>
      <c r="C29">
        <v>75</v>
      </c>
      <c r="D29">
        <v>9</v>
      </c>
      <c r="E29">
        <v>8.5</v>
      </c>
      <c r="F29">
        <v>6</v>
      </c>
      <c r="H29">
        <v>9.9600000000000009</v>
      </c>
      <c r="I29">
        <v>140</v>
      </c>
      <c r="J29" s="1">
        <f t="shared" si="1"/>
        <v>154</v>
      </c>
    </row>
    <row r="30" spans="1:10" x14ac:dyDescent="0.4">
      <c r="A30" t="s">
        <v>40</v>
      </c>
      <c r="B30">
        <v>100</v>
      </c>
      <c r="C30">
        <v>100</v>
      </c>
      <c r="D30">
        <v>10</v>
      </c>
      <c r="E30">
        <v>10</v>
      </c>
      <c r="F30">
        <v>7</v>
      </c>
      <c r="H30">
        <v>14.9</v>
      </c>
      <c r="I30">
        <v>140</v>
      </c>
      <c r="J30" s="1">
        <f t="shared" si="1"/>
        <v>154</v>
      </c>
    </row>
    <row r="32" spans="1:10" x14ac:dyDescent="0.4">
      <c r="A32" t="s">
        <v>14</v>
      </c>
    </row>
    <row r="33" spans="1:11" x14ac:dyDescent="0.4">
      <c r="A33" t="s">
        <v>15</v>
      </c>
      <c r="B33" t="s">
        <v>48</v>
      </c>
      <c r="H33" t="s">
        <v>7</v>
      </c>
      <c r="I33" t="s">
        <v>9</v>
      </c>
      <c r="J33" s="1" t="s">
        <v>8</v>
      </c>
      <c r="K33" t="s">
        <v>10</v>
      </c>
    </row>
    <row r="34" spans="1:11" x14ac:dyDescent="0.4">
      <c r="A34" t="s">
        <v>41</v>
      </c>
      <c r="B34">
        <v>6</v>
      </c>
      <c r="H34">
        <v>0.88500000000000001</v>
      </c>
      <c r="I34">
        <v>270</v>
      </c>
      <c r="J34" s="1">
        <f>ROUNDUP(I34*1.1,0)</f>
        <v>297</v>
      </c>
    </row>
    <row r="35" spans="1:11" x14ac:dyDescent="0.4">
      <c r="A35" t="s">
        <v>42</v>
      </c>
      <c r="B35">
        <v>9</v>
      </c>
      <c r="H35">
        <v>1.1200000000000001</v>
      </c>
      <c r="I35">
        <v>180</v>
      </c>
      <c r="J35" s="1">
        <f t="shared" ref="J35:J40" si="2">ROUNDUP(I35*1.1,0)</f>
        <v>198</v>
      </c>
    </row>
    <row r="36" spans="1:11" x14ac:dyDescent="0.4">
      <c r="A36" t="s">
        <v>43</v>
      </c>
      <c r="B36">
        <v>13</v>
      </c>
      <c r="H36">
        <v>1.36</v>
      </c>
      <c r="I36">
        <v>150</v>
      </c>
      <c r="J36" s="1">
        <f t="shared" si="2"/>
        <v>165</v>
      </c>
    </row>
    <row r="37" spans="1:11" x14ac:dyDescent="0.4">
      <c r="A37" t="s">
        <v>44</v>
      </c>
      <c r="B37">
        <v>16</v>
      </c>
      <c r="H37">
        <v>1.83</v>
      </c>
      <c r="I37">
        <v>150</v>
      </c>
      <c r="J37" s="1">
        <f t="shared" si="2"/>
        <v>165</v>
      </c>
    </row>
    <row r="38" spans="1:11" x14ac:dyDescent="0.4">
      <c r="A38" t="s">
        <v>49</v>
      </c>
      <c r="B38">
        <v>19</v>
      </c>
      <c r="H38">
        <v>3.06</v>
      </c>
      <c r="I38">
        <v>150</v>
      </c>
      <c r="J38" s="1">
        <f t="shared" si="2"/>
        <v>165</v>
      </c>
    </row>
    <row r="39" spans="1:11" x14ac:dyDescent="0.4">
      <c r="A39" t="s">
        <v>45</v>
      </c>
      <c r="B39">
        <v>22</v>
      </c>
      <c r="H39">
        <v>2.16</v>
      </c>
      <c r="I39">
        <v>150</v>
      </c>
      <c r="J39" s="1">
        <f t="shared" si="2"/>
        <v>165</v>
      </c>
    </row>
    <row r="40" spans="1:11" x14ac:dyDescent="0.4">
      <c r="A40" t="s">
        <v>46</v>
      </c>
      <c r="B40">
        <v>25</v>
      </c>
      <c r="H40">
        <v>3.7549999999999999</v>
      </c>
      <c r="I40">
        <v>150</v>
      </c>
      <c r="J40" s="1">
        <f t="shared" si="2"/>
        <v>165</v>
      </c>
    </row>
    <row r="42" spans="1:11" x14ac:dyDescent="0.4">
      <c r="A42" t="s">
        <v>47</v>
      </c>
    </row>
    <row r="43" spans="1:11" x14ac:dyDescent="0.4">
      <c r="A43" t="s">
        <v>15</v>
      </c>
      <c r="B43" t="s">
        <v>59</v>
      </c>
      <c r="C43" t="s">
        <v>60</v>
      </c>
      <c r="H43" t="s">
        <v>7</v>
      </c>
      <c r="I43" t="s">
        <v>62</v>
      </c>
      <c r="J43" s="1" t="s">
        <v>8</v>
      </c>
      <c r="K43" t="s">
        <v>10</v>
      </c>
    </row>
    <row r="44" spans="1:11" x14ac:dyDescent="0.4">
      <c r="A44" t="s">
        <v>50</v>
      </c>
      <c r="H44">
        <v>1.31</v>
      </c>
      <c r="I44">
        <v>230</v>
      </c>
      <c r="J44" s="1">
        <f>ROUNDUP(I44*1.1,0)</f>
        <v>253</v>
      </c>
    </row>
    <row r="45" spans="1:11" x14ac:dyDescent="0.4">
      <c r="A45" t="s">
        <v>51</v>
      </c>
      <c r="H45">
        <v>1.68</v>
      </c>
      <c r="I45">
        <v>230</v>
      </c>
      <c r="J45" s="1">
        <f t="shared" ref="J45:J53" si="3">ROUNDUP(I45*1.1,0)</f>
        <v>253</v>
      </c>
    </row>
    <row r="46" spans="1:11" x14ac:dyDescent="0.4">
      <c r="A46" t="s">
        <v>52</v>
      </c>
      <c r="H46">
        <v>27.6</v>
      </c>
      <c r="I46">
        <v>230</v>
      </c>
      <c r="J46" s="1">
        <f t="shared" si="3"/>
        <v>253</v>
      </c>
    </row>
    <row r="47" spans="1:11" x14ac:dyDescent="0.4">
      <c r="A47" t="s">
        <v>53</v>
      </c>
      <c r="H47">
        <v>3.38</v>
      </c>
      <c r="I47">
        <v>230</v>
      </c>
      <c r="J47" s="1">
        <f t="shared" si="3"/>
        <v>253</v>
      </c>
    </row>
    <row r="48" spans="1:11" x14ac:dyDescent="0.4">
      <c r="A48" t="s">
        <v>54</v>
      </c>
      <c r="H48">
        <v>3.89</v>
      </c>
      <c r="I48">
        <v>230</v>
      </c>
      <c r="J48" s="1">
        <f t="shared" si="3"/>
        <v>253</v>
      </c>
    </row>
    <row r="49" spans="1:10" x14ac:dyDescent="0.4">
      <c r="A49" t="s">
        <v>55</v>
      </c>
      <c r="H49">
        <v>5.31</v>
      </c>
      <c r="I49">
        <v>230</v>
      </c>
      <c r="J49" s="1">
        <f t="shared" si="3"/>
        <v>253</v>
      </c>
    </row>
    <row r="50" spans="1:10" x14ac:dyDescent="0.4">
      <c r="A50" t="s">
        <v>56</v>
      </c>
      <c r="H50">
        <v>12.2</v>
      </c>
      <c r="I50">
        <v>230</v>
      </c>
      <c r="J50" s="1">
        <f t="shared" si="3"/>
        <v>253</v>
      </c>
    </row>
    <row r="51" spans="1:10" x14ac:dyDescent="0.4">
      <c r="A51" t="s">
        <v>57</v>
      </c>
      <c r="H51">
        <v>15</v>
      </c>
      <c r="J51" s="1">
        <f t="shared" si="3"/>
        <v>0</v>
      </c>
    </row>
    <row r="52" spans="1:10" x14ac:dyDescent="0.4">
      <c r="A52" t="s">
        <v>58</v>
      </c>
      <c r="H52">
        <v>19.8</v>
      </c>
      <c r="J52" s="1">
        <f t="shared" si="3"/>
        <v>0</v>
      </c>
    </row>
    <row r="53" spans="1:10" x14ac:dyDescent="0.4">
      <c r="A53" t="s">
        <v>61</v>
      </c>
      <c r="J53" s="1">
        <f t="shared" si="3"/>
        <v>0</v>
      </c>
    </row>
  </sheetData>
  <phoneticPr fontId="2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夏輝 石川</dc:creator>
  <cp:lastModifiedBy>夏輝 石川</cp:lastModifiedBy>
  <dcterms:created xsi:type="dcterms:W3CDTF">2026-01-07T01:23:48Z</dcterms:created>
  <dcterms:modified xsi:type="dcterms:W3CDTF">2026-01-08T05:01:09Z</dcterms:modified>
</cp:coreProperties>
</file>